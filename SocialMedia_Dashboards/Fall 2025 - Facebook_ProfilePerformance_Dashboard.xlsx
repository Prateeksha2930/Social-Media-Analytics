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C:\Users\pratu\OneDrive\Desktop\OC Team\"/>
    </mc:Choice>
  </mc:AlternateContent>
  <xr:revisionPtr revIDLastSave="0" documentId="13_ncr:1_{43CF193E-EB82-4F15-973B-6695EA879B9C}" xr6:coauthVersionLast="47" xr6:coauthVersionMax="47" xr10:uidLastSave="{00000000-0000-0000-0000-000000000000}"/>
  <bookViews>
    <workbookView xWindow="28680" yWindow="-120" windowWidth="29040" windowHeight="15720" activeTab="1" xr2:uid="{CA199BB8-6689-428F-896C-7E0F9F75A29E}"/>
  </bookViews>
  <sheets>
    <sheet name="Instructions" sheetId="12" r:id="rId1"/>
    <sheet name="Dashboard" sheetId="11" r:id="rId2"/>
    <sheet name="Profile Performance (OC)" sheetId="3" r:id="rId3"/>
  </sheets>
  <definedNames>
    <definedName name="_xlnm._FilterDatabase" localSheetId="2" hidden="1">'Profile Performance (OC)'!$A$1:$Z$152</definedName>
    <definedName name="Slicer_Date">#N/A</definedName>
    <definedName name="Slicer_Month">#N/A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0" i="3" l="1"/>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20" i="3"/>
  <c r="F21" i="3"/>
  <c r="F22" i="3"/>
  <c r="F23" i="3"/>
  <c r="F24" i="3"/>
  <c r="F25" i="3"/>
  <c r="F26" i="3"/>
  <c r="F27" i="3"/>
  <c r="F28" i="3"/>
  <c r="F29" i="3"/>
  <c r="F30" i="3"/>
  <c r="F31" i="3"/>
  <c r="F32" i="3"/>
  <c r="F33" i="3"/>
  <c r="F34" i="3"/>
  <c r="F35" i="3"/>
  <c r="F36" i="3"/>
  <c r="F37" i="3"/>
  <c r="F38" i="3"/>
  <c r="F39" i="3"/>
  <c r="F3" i="3"/>
  <c r="F4" i="3"/>
  <c r="F5" i="3"/>
  <c r="F6" i="3"/>
  <c r="F7" i="3"/>
  <c r="F8" i="3"/>
  <c r="F9" i="3"/>
  <c r="F10" i="3"/>
  <c r="F11" i="3"/>
  <c r="F12" i="3"/>
  <c r="F13" i="3"/>
  <c r="F14" i="3"/>
  <c r="F15" i="3"/>
  <c r="F16" i="3"/>
  <c r="F17" i="3"/>
  <c r="F18" i="3"/>
  <c r="F19" i="3"/>
  <c r="F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2" i="3"/>
</calcChain>
</file>

<file path=xl/sharedStrings.xml><?xml version="1.0" encoding="utf-8"?>
<sst xmlns="http://schemas.openxmlformats.org/spreadsheetml/2006/main" count="225" uniqueCount="44">
  <si>
    <t>Date</t>
  </si>
  <si>
    <t>Audience</t>
  </si>
  <si>
    <t>Net Audience Growth</t>
  </si>
  <si>
    <t>Audience Gained</t>
  </si>
  <si>
    <t>Sent Messages (Total)</t>
  </si>
  <si>
    <t>Published Posts (Total)</t>
  </si>
  <si>
    <t>Received Messages (Total)</t>
  </si>
  <si>
    <t>Impressions</t>
  </si>
  <si>
    <t>Video Views</t>
  </si>
  <si>
    <t>Engagements</t>
  </si>
  <si>
    <t>Engagement Rate (per Impression)</t>
  </si>
  <si>
    <t>Reactions</t>
  </si>
  <si>
    <t>Comments</t>
  </si>
  <si>
    <t>Shares</t>
  </si>
  <si>
    <t>Post Link Clicks</t>
  </si>
  <si>
    <t>Saves</t>
  </si>
  <si>
    <t>Other Post Clicks</t>
  </si>
  <si>
    <t>Sent Posts (Facebook)</t>
  </si>
  <si>
    <t>Sent Ad Posts (Facebook)</t>
  </si>
  <si>
    <t>Sent Comments (Facebook)</t>
  </si>
  <si>
    <t>Sent Ad Comments (Facebook)</t>
  </si>
  <si>
    <t>Sent Private Messages (Facebook)</t>
  </si>
  <si>
    <t>Received Wall Posts (Facebook)</t>
  </si>
  <si>
    <t>Received Private Messages (Facebook)</t>
  </si>
  <si>
    <t>Month</t>
  </si>
  <si>
    <t>Row Labels</t>
  </si>
  <si>
    <t>Jun</t>
  </si>
  <si>
    <t>Jul</t>
  </si>
  <si>
    <t>Aug</t>
  </si>
  <si>
    <t>Sep</t>
  </si>
  <si>
    <t>Oct</t>
  </si>
  <si>
    <t>Grand Total</t>
  </si>
  <si>
    <t>Sum of Impressions</t>
  </si>
  <si>
    <t>Sum of Reactions</t>
  </si>
  <si>
    <t>Sum of Comments</t>
  </si>
  <si>
    <t>Sum of Shares</t>
  </si>
  <si>
    <t>Sum of Engagements</t>
  </si>
  <si>
    <t>Sum of Net Audience Growth</t>
  </si>
  <si>
    <t>AGR%</t>
  </si>
  <si>
    <t>Sum of Post Link Clicks</t>
  </si>
  <si>
    <t>Sum of Other Post Clicks</t>
  </si>
  <si>
    <t>Sum of Published Posts (Total)</t>
  </si>
  <si>
    <t>Sum of Engagement Rate (per Impression)</t>
  </si>
  <si>
    <t>Count of Saves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</si>
</sst>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9" fontId="0" fillId="0" borderId="0" xfId="0" applyNumberFormat="1"/>
    <xf numFmtId="10" fontId="0" fillId="0" borderId="0" xfId="0" applyNumberFormat="1"/>
    <xf numFmtId="0" fontId="0" fillId="0" borderId="0" xfId="0" pivotButton="1"/>
    <xf numFmtId="0" fontId="0" fillId="0" borderId="0" xfId="0" applyAlignment="1">
      <alignment horizontal="left"/>
    </xf>
    <xf numFmtId="14" fontId="0" fillId="33" borderId="0" xfId="0" applyNumberFormat="1" applyFill="1"/>
    <xf numFmtId="0" fontId="0" fillId="33" borderId="0" xfId="0" applyFill="1"/>
    <xf numFmtId="10" fontId="0" fillId="33" borderId="0" xfId="0" applyNumberForma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3" formatCode="0%"/>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[Fall 2025 - Facebook_ProfilePerformance_Dashboard.xlsx]Dashboard!PivotTable8</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Dashboard!$B$3</c:f>
              <c:strCache>
                <c:ptCount val="1"/>
                <c:pt idx="0">
                  <c:v>Count of Saves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Dashboard!$A$4:$A$9</c:f>
              <c:strCache>
                <c:ptCount val="5"/>
                <c:pt idx="0">
                  <c:v>Jun</c:v>
                </c:pt>
                <c:pt idx="1">
                  <c:v>Jul</c:v>
                </c:pt>
                <c:pt idx="2">
                  <c:v>Aug</c:v>
                </c:pt>
                <c:pt idx="3">
                  <c:v>Sep</c:v>
                </c:pt>
                <c:pt idx="4">
                  <c:v>Oct</c:v>
                </c:pt>
              </c:strCache>
            </c:strRef>
          </c:cat>
          <c:val>
            <c:numRef>
              <c:f>Dashboard!$B$4:$B$9</c:f>
              <c:numCache>
                <c:formatCode>General</c:formatCode>
                <c:ptCount val="5"/>
              </c:numCache>
            </c:numRef>
          </c:val>
          <c:extLst>
            <c:ext xmlns:c16="http://schemas.microsoft.com/office/drawing/2014/chart" uri="{C3380CC4-5D6E-409C-BE32-E72D297353CC}">
              <c16:uniqueId val="{00000000-9217-4BEB-9189-3C51971E6194}"/>
            </c:ext>
          </c:extLst>
        </c:ser>
        <c:ser>
          <c:idx val="1"/>
          <c:order val="1"/>
          <c:tx>
            <c:strRef>
              <c:f>Dashboard!$C$3</c:f>
              <c:strCache>
                <c:ptCount val="1"/>
                <c:pt idx="0">
                  <c:v>Sum of Post Link Clicks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Dashboard!$A$4:$A$9</c:f>
              <c:strCache>
                <c:ptCount val="5"/>
                <c:pt idx="0">
                  <c:v>Jun</c:v>
                </c:pt>
                <c:pt idx="1">
                  <c:v>Jul</c:v>
                </c:pt>
                <c:pt idx="2">
                  <c:v>Aug</c:v>
                </c:pt>
                <c:pt idx="3">
                  <c:v>Sep</c:v>
                </c:pt>
                <c:pt idx="4">
                  <c:v>Oct</c:v>
                </c:pt>
              </c:strCache>
            </c:strRef>
          </c:cat>
          <c:val>
            <c:numRef>
              <c:f>Dashboard!$C$4:$C$9</c:f>
              <c:numCache>
                <c:formatCode>General</c:formatCode>
                <c:ptCount val="5"/>
                <c:pt idx="0">
                  <c:v>3</c:v>
                </c:pt>
                <c:pt idx="1">
                  <c:v>0</c:v>
                </c:pt>
                <c:pt idx="2">
                  <c:v>0</c:v>
                </c:pt>
                <c:pt idx="3">
                  <c:v>0</c:v>
                </c:pt>
                <c:pt idx="4">
                  <c:v>0</c:v>
                </c:pt>
              </c:numCache>
            </c:numRef>
          </c:val>
          <c:extLst>
            <c:ext xmlns:c16="http://schemas.microsoft.com/office/drawing/2014/chart" uri="{C3380CC4-5D6E-409C-BE32-E72D297353CC}">
              <c16:uniqueId val="{00000001-9217-4BEB-9189-3C51971E6194}"/>
            </c:ext>
          </c:extLst>
        </c:ser>
        <c:ser>
          <c:idx val="2"/>
          <c:order val="2"/>
          <c:tx>
            <c:strRef>
              <c:f>Dashboard!$D$3</c:f>
              <c:strCache>
                <c:ptCount val="1"/>
                <c:pt idx="0">
                  <c:v>Sum of Comments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Dashboard!$A$4:$A$9</c:f>
              <c:strCache>
                <c:ptCount val="5"/>
                <c:pt idx="0">
                  <c:v>Jun</c:v>
                </c:pt>
                <c:pt idx="1">
                  <c:v>Jul</c:v>
                </c:pt>
                <c:pt idx="2">
                  <c:v>Aug</c:v>
                </c:pt>
                <c:pt idx="3">
                  <c:v>Sep</c:v>
                </c:pt>
                <c:pt idx="4">
                  <c:v>Oct</c:v>
                </c:pt>
              </c:strCache>
            </c:strRef>
          </c:cat>
          <c:val>
            <c:numRef>
              <c:f>Dashboard!$D$4:$D$9</c:f>
              <c:numCache>
                <c:formatCode>General</c:formatCode>
                <c:ptCount val="5"/>
                <c:pt idx="0">
                  <c:v>0</c:v>
                </c:pt>
                <c:pt idx="1">
                  <c:v>15</c:v>
                </c:pt>
                <c:pt idx="2">
                  <c:v>1</c:v>
                </c:pt>
                <c:pt idx="3">
                  <c:v>0</c:v>
                </c:pt>
                <c:pt idx="4">
                  <c:v>0</c:v>
                </c:pt>
              </c:numCache>
            </c:numRef>
          </c:val>
          <c:extLst>
            <c:ext xmlns:c16="http://schemas.microsoft.com/office/drawing/2014/chart" uri="{C3380CC4-5D6E-409C-BE32-E72D297353CC}">
              <c16:uniqueId val="{00000002-9217-4BEB-9189-3C51971E6194}"/>
            </c:ext>
          </c:extLst>
        </c:ser>
        <c:ser>
          <c:idx val="3"/>
          <c:order val="3"/>
          <c:tx>
            <c:strRef>
              <c:f>Dashboard!$E$3</c:f>
              <c:strCache>
                <c:ptCount val="1"/>
                <c:pt idx="0">
                  <c:v>Sum of Reactions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Dashboard!$A$4:$A$9</c:f>
              <c:strCache>
                <c:ptCount val="5"/>
                <c:pt idx="0">
                  <c:v>Jun</c:v>
                </c:pt>
                <c:pt idx="1">
                  <c:v>Jul</c:v>
                </c:pt>
                <c:pt idx="2">
                  <c:v>Aug</c:v>
                </c:pt>
                <c:pt idx="3">
                  <c:v>Sep</c:v>
                </c:pt>
                <c:pt idx="4">
                  <c:v>Oct</c:v>
                </c:pt>
              </c:strCache>
            </c:strRef>
          </c:cat>
          <c:val>
            <c:numRef>
              <c:f>Dashboard!$E$4:$E$9</c:f>
              <c:numCache>
                <c:formatCode>General</c:formatCode>
                <c:ptCount val="5"/>
                <c:pt idx="0">
                  <c:v>5</c:v>
                </c:pt>
                <c:pt idx="1">
                  <c:v>76</c:v>
                </c:pt>
                <c:pt idx="2">
                  <c:v>7</c:v>
                </c:pt>
                <c:pt idx="3">
                  <c:v>18</c:v>
                </c:pt>
                <c:pt idx="4">
                  <c:v>1</c:v>
                </c:pt>
              </c:numCache>
            </c:numRef>
          </c:val>
          <c:extLst>
            <c:ext xmlns:c16="http://schemas.microsoft.com/office/drawing/2014/chart" uri="{C3380CC4-5D6E-409C-BE32-E72D297353CC}">
              <c16:uniqueId val="{00000003-9217-4BEB-9189-3C51971E6194}"/>
            </c:ext>
          </c:extLst>
        </c:ser>
        <c:ser>
          <c:idx val="4"/>
          <c:order val="4"/>
          <c:tx>
            <c:strRef>
              <c:f>Dashboard!$F$3</c:f>
              <c:strCache>
                <c:ptCount val="1"/>
                <c:pt idx="0">
                  <c:v>Sum of Other Post Clicks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Dashboard!$A$4:$A$9</c:f>
              <c:strCache>
                <c:ptCount val="5"/>
                <c:pt idx="0">
                  <c:v>Jun</c:v>
                </c:pt>
                <c:pt idx="1">
                  <c:v>Jul</c:v>
                </c:pt>
                <c:pt idx="2">
                  <c:v>Aug</c:v>
                </c:pt>
                <c:pt idx="3">
                  <c:v>Sep</c:v>
                </c:pt>
                <c:pt idx="4">
                  <c:v>Oct</c:v>
                </c:pt>
              </c:strCache>
            </c:strRef>
          </c:cat>
          <c:val>
            <c:numRef>
              <c:f>Dashboard!$F$4:$F$9</c:f>
              <c:numCache>
                <c:formatCode>General</c:formatCode>
                <c:ptCount val="5"/>
                <c:pt idx="0">
                  <c:v>3</c:v>
                </c:pt>
                <c:pt idx="1">
                  <c:v>113</c:v>
                </c:pt>
                <c:pt idx="2">
                  <c:v>7</c:v>
                </c:pt>
                <c:pt idx="3">
                  <c:v>18</c:v>
                </c:pt>
                <c:pt idx="4">
                  <c:v>8</c:v>
                </c:pt>
              </c:numCache>
            </c:numRef>
          </c:val>
          <c:extLst>
            <c:ext xmlns:c16="http://schemas.microsoft.com/office/drawing/2014/chart" uri="{C3380CC4-5D6E-409C-BE32-E72D297353CC}">
              <c16:uniqueId val="{00000004-9217-4BEB-9189-3C51971E6194}"/>
            </c:ext>
          </c:extLst>
        </c:ser>
        <c:ser>
          <c:idx val="5"/>
          <c:order val="5"/>
          <c:tx>
            <c:strRef>
              <c:f>Dashboard!$G$3</c:f>
              <c:strCache>
                <c:ptCount val="1"/>
                <c:pt idx="0">
                  <c:v>Sum of Shares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Dashboard!$A$4:$A$9</c:f>
              <c:strCache>
                <c:ptCount val="5"/>
                <c:pt idx="0">
                  <c:v>Jun</c:v>
                </c:pt>
                <c:pt idx="1">
                  <c:v>Jul</c:v>
                </c:pt>
                <c:pt idx="2">
                  <c:v>Aug</c:v>
                </c:pt>
                <c:pt idx="3">
                  <c:v>Sep</c:v>
                </c:pt>
                <c:pt idx="4">
                  <c:v>Oct</c:v>
                </c:pt>
              </c:strCache>
            </c:strRef>
          </c:cat>
          <c:val>
            <c:numRef>
              <c:f>Dashboard!$G$4:$G$9</c:f>
              <c:numCache>
                <c:formatCode>General</c:formatCode>
                <c:ptCount val="5"/>
                <c:pt idx="0">
                  <c:v>0</c:v>
                </c:pt>
                <c:pt idx="1">
                  <c:v>3</c:v>
                </c:pt>
                <c:pt idx="2">
                  <c:v>0</c:v>
                </c:pt>
                <c:pt idx="3">
                  <c:v>2</c:v>
                </c:pt>
                <c:pt idx="4">
                  <c:v>0</c:v>
                </c:pt>
              </c:numCache>
            </c:numRef>
          </c:val>
          <c:extLst>
            <c:ext xmlns:c16="http://schemas.microsoft.com/office/drawing/2014/chart" uri="{C3380CC4-5D6E-409C-BE32-E72D297353CC}">
              <c16:uniqueId val="{00000005-9217-4BEB-9189-3C51971E6194}"/>
            </c:ext>
          </c:extLst>
        </c:ser>
        <c:dLbls>
          <c:showLegendKey val="0"/>
          <c:showVal val="0"/>
          <c:showCatName val="0"/>
          <c:showSerName val="0"/>
          <c:showPercent val="0"/>
          <c:showBubbleSize val="0"/>
        </c:dLbls>
        <c:gapWidth val="100"/>
        <c:overlap val="-24"/>
        <c:axId val="1213198080"/>
        <c:axId val="1213199520"/>
      </c:barChart>
      <c:catAx>
        <c:axId val="12131980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3199520"/>
        <c:crosses val="autoZero"/>
        <c:auto val="1"/>
        <c:lblAlgn val="ctr"/>
        <c:lblOffset val="100"/>
        <c:noMultiLvlLbl val="0"/>
      </c:catAx>
      <c:valAx>
        <c:axId val="12131995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319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[Fall 2025 - Facebook_ProfilePerformance_Dashboard.xlsx]Dashboard!PivotTable9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Dashboard!$B$13</c:f>
              <c:strCache>
                <c:ptCount val="1"/>
                <c:pt idx="0">
                  <c:v>Sum of Engagement Rate (per Impression)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Dashboard!$A$14:$A$19</c:f>
              <c:strCache>
                <c:ptCount val="5"/>
                <c:pt idx="0">
                  <c:v>Jun</c:v>
                </c:pt>
                <c:pt idx="1">
                  <c:v>Jul</c:v>
                </c:pt>
                <c:pt idx="2">
                  <c:v>Aug</c:v>
                </c:pt>
                <c:pt idx="3">
                  <c:v>Sep</c:v>
                </c:pt>
                <c:pt idx="4">
                  <c:v>Oct</c:v>
                </c:pt>
              </c:strCache>
            </c:strRef>
          </c:cat>
          <c:val>
            <c:numRef>
              <c:f>Dashboard!$B$14:$B$19</c:f>
              <c:numCache>
                <c:formatCode>General</c:formatCode>
                <c:ptCount val="5"/>
                <c:pt idx="0">
                  <c:v>1.7046000000000001</c:v>
                </c:pt>
                <c:pt idx="1">
                  <c:v>3.6275000000000004</c:v>
                </c:pt>
                <c:pt idx="2">
                  <c:v>0.79380000000000006</c:v>
                </c:pt>
                <c:pt idx="3">
                  <c:v>2.0404</c:v>
                </c:pt>
                <c:pt idx="4">
                  <c:v>1.0568</c:v>
                </c:pt>
              </c:numCache>
            </c:numRef>
          </c:val>
          <c:extLst>
            <c:ext xmlns:c16="http://schemas.microsoft.com/office/drawing/2014/chart" uri="{C3380CC4-5D6E-409C-BE32-E72D297353CC}">
              <c16:uniqueId val="{00000000-BCE9-4E08-A9A9-1C268FCF5474}"/>
            </c:ext>
          </c:extLst>
        </c:ser>
        <c:ser>
          <c:idx val="1"/>
          <c:order val="1"/>
          <c:tx>
            <c:strRef>
              <c:f>Dashboard!$C$13</c:f>
              <c:strCache>
                <c:ptCount val="1"/>
                <c:pt idx="0">
                  <c:v>Sum of Published Posts (Total)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Dashboard!$A$14:$A$19</c:f>
              <c:strCache>
                <c:ptCount val="5"/>
                <c:pt idx="0">
                  <c:v>Jun</c:v>
                </c:pt>
                <c:pt idx="1">
                  <c:v>Jul</c:v>
                </c:pt>
                <c:pt idx="2">
                  <c:v>Aug</c:v>
                </c:pt>
                <c:pt idx="3">
                  <c:v>Sep</c:v>
                </c:pt>
                <c:pt idx="4">
                  <c:v>Oct</c:v>
                </c:pt>
              </c:strCache>
            </c:strRef>
          </c:cat>
          <c:val>
            <c:numRef>
              <c:f>Dashboard!$C$14:$C$19</c:f>
              <c:numCache>
                <c:formatCode>General</c:formatCode>
                <c:ptCount val="5"/>
                <c:pt idx="0">
                  <c:v>2</c:v>
                </c:pt>
                <c:pt idx="1">
                  <c:v>4</c:v>
                </c:pt>
                <c:pt idx="2">
                  <c:v>2</c:v>
                </c:pt>
                <c:pt idx="3">
                  <c:v>2</c:v>
                </c:pt>
                <c:pt idx="4">
                  <c:v>0</c:v>
                </c:pt>
              </c:numCache>
            </c:numRef>
          </c:val>
          <c:extLst>
            <c:ext xmlns:c16="http://schemas.microsoft.com/office/drawing/2014/chart" uri="{C3380CC4-5D6E-409C-BE32-E72D297353CC}">
              <c16:uniqueId val="{00000001-BCE9-4E08-A9A9-1C268FCF5474}"/>
            </c:ext>
          </c:extLst>
        </c:ser>
        <c:dLbls>
          <c:dLblPos val="inEnd"/>
          <c:showLegendKey val="0"/>
          <c:showVal val="1"/>
          <c:showCatName val="0"/>
          <c:showSerName val="0"/>
          <c:showPercent val="0"/>
          <c:showBubbleSize val="0"/>
        </c:dLbls>
        <c:gapWidth val="219"/>
        <c:overlap val="-27"/>
        <c:axId val="1211356000"/>
        <c:axId val="1211356480"/>
      </c:barChart>
      <c:catAx>
        <c:axId val="121135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356480"/>
        <c:crosses val="autoZero"/>
        <c:auto val="1"/>
        <c:lblAlgn val="ctr"/>
        <c:lblOffset val="100"/>
        <c:noMultiLvlLbl val="0"/>
      </c:catAx>
      <c:valAx>
        <c:axId val="1211356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35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[Fall 2025 - Facebook_ProfilePerformance_Dashboard.xlsx]Dashboard!PivotTable12</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Dashboard!$B$41</c:f>
              <c:strCache>
                <c:ptCount val="1"/>
                <c:pt idx="0">
                  <c:v>Sum of Impressions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ln>
              <a:effectLst/>
            </c:spPr>
            <c:trendlineType val="linear"/>
            <c:dispRSqr val="0"/>
            <c:dispEq val="0"/>
          </c:trendline>
          <c:cat>
            <c:strRef>
              <c:f>Dashboard!$A$42:$A$47</c:f>
              <c:strCache>
                <c:ptCount val="5"/>
                <c:pt idx="0">
                  <c:v>Jun</c:v>
                </c:pt>
                <c:pt idx="1">
                  <c:v>Jul</c:v>
                </c:pt>
                <c:pt idx="2">
                  <c:v>Aug</c:v>
                </c:pt>
                <c:pt idx="3">
                  <c:v>Sep</c:v>
                </c:pt>
                <c:pt idx="4">
                  <c:v>Oct</c:v>
                </c:pt>
              </c:strCache>
            </c:strRef>
          </c:cat>
          <c:val>
            <c:numRef>
              <c:f>Dashboard!$B$42:$B$47</c:f>
              <c:numCache>
                <c:formatCode>General</c:formatCode>
                <c:ptCount val="5"/>
                <c:pt idx="0">
                  <c:v>305</c:v>
                </c:pt>
                <c:pt idx="1">
                  <c:v>959</c:v>
                </c:pt>
                <c:pt idx="2">
                  <c:v>479</c:v>
                </c:pt>
                <c:pt idx="3">
                  <c:v>572</c:v>
                </c:pt>
                <c:pt idx="4">
                  <c:v>266</c:v>
                </c:pt>
              </c:numCache>
            </c:numRef>
          </c:val>
          <c:extLst>
            <c:ext xmlns:c16="http://schemas.microsoft.com/office/drawing/2014/chart" uri="{C3380CC4-5D6E-409C-BE32-E72D297353CC}">
              <c16:uniqueId val="{00000000-E8E6-4C75-A6EA-A17B37A9F157}"/>
            </c:ext>
          </c:extLst>
        </c:ser>
        <c:ser>
          <c:idx val="1"/>
          <c:order val="1"/>
          <c:tx>
            <c:strRef>
              <c:f>Dashboard!$C$41</c:f>
              <c:strCache>
                <c:ptCount val="1"/>
                <c:pt idx="0">
                  <c:v>Sum of Engagements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Dashboard!$A$42:$A$47</c:f>
              <c:strCache>
                <c:ptCount val="5"/>
                <c:pt idx="0">
                  <c:v>Jun</c:v>
                </c:pt>
                <c:pt idx="1">
                  <c:v>Jul</c:v>
                </c:pt>
                <c:pt idx="2">
                  <c:v>Aug</c:v>
                </c:pt>
                <c:pt idx="3">
                  <c:v>Sep</c:v>
                </c:pt>
                <c:pt idx="4">
                  <c:v>Oct</c:v>
                </c:pt>
              </c:strCache>
            </c:strRef>
          </c:cat>
          <c:val>
            <c:numRef>
              <c:f>Dashboard!$C$42:$C$47</c:f>
              <c:numCache>
                <c:formatCode>General</c:formatCode>
                <c:ptCount val="5"/>
                <c:pt idx="0">
                  <c:v>11</c:v>
                </c:pt>
                <c:pt idx="1">
                  <c:v>207</c:v>
                </c:pt>
                <c:pt idx="2">
                  <c:v>15</c:v>
                </c:pt>
                <c:pt idx="3">
                  <c:v>38</c:v>
                </c:pt>
                <c:pt idx="4">
                  <c:v>9</c:v>
                </c:pt>
              </c:numCache>
            </c:numRef>
          </c:val>
          <c:extLst>
            <c:ext xmlns:c16="http://schemas.microsoft.com/office/drawing/2014/chart" uri="{C3380CC4-5D6E-409C-BE32-E72D297353CC}">
              <c16:uniqueId val="{00000001-E8E6-4C75-A6EA-A17B37A9F157}"/>
            </c:ext>
          </c:extLst>
        </c:ser>
        <c:dLbls>
          <c:dLblPos val="outEnd"/>
          <c:showLegendKey val="0"/>
          <c:showVal val="1"/>
          <c:showCatName val="0"/>
          <c:showSerName val="0"/>
          <c:showPercent val="0"/>
          <c:showBubbleSize val="0"/>
        </c:dLbls>
        <c:gapWidth val="100"/>
        <c:overlap val="-24"/>
        <c:axId val="135989360"/>
        <c:axId val="135989840"/>
      </c:barChart>
      <c:catAx>
        <c:axId val="1359893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89840"/>
        <c:crosses val="autoZero"/>
        <c:auto val="1"/>
        <c:lblAlgn val="ctr"/>
        <c:lblOffset val="100"/>
        <c:noMultiLvlLbl val="0"/>
      </c:catAx>
      <c:valAx>
        <c:axId val="135989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89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[Fall 2025 - Facebook_ProfilePerformance_Dashboard.xlsx]Dashboard!PivotTable11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Dashboard!$A$33:$A$38</c:f>
              <c:strCache>
                <c:ptCount val="5"/>
                <c:pt idx="0">
                  <c:v>Jun</c:v>
                </c:pt>
                <c:pt idx="1">
                  <c:v>Jul</c:v>
                </c:pt>
                <c:pt idx="2">
                  <c:v>Aug</c:v>
                </c:pt>
                <c:pt idx="3">
                  <c:v>Sep</c:v>
                </c:pt>
                <c:pt idx="4">
                  <c:v>Oct</c:v>
                </c:pt>
              </c:strCache>
            </c:strRef>
          </c:cat>
          <c:val>
            <c:numRef>
              <c:f>Dashboard!$B$33:$B$38</c:f>
              <c:numCache>
                <c:formatCode>General</c:formatCode>
                <c:ptCount val="5"/>
                <c:pt idx="0">
                  <c:v>0</c:v>
                </c:pt>
                <c:pt idx="1">
                  <c:v>1</c:v>
                </c:pt>
                <c:pt idx="2">
                  <c:v>4</c:v>
                </c:pt>
                <c:pt idx="3">
                  <c:v>4</c:v>
                </c:pt>
                <c:pt idx="4">
                  <c:v>2</c:v>
                </c:pt>
              </c:numCache>
            </c:numRef>
          </c:val>
          <c:extLst>
            <c:ext xmlns:c16="http://schemas.microsoft.com/office/drawing/2014/chart" uri="{C3380CC4-5D6E-409C-BE32-E72D297353CC}">
              <c16:uniqueId val="{00000000-9938-45ED-9166-0553D6B9AF42}"/>
            </c:ext>
          </c:extLst>
        </c:ser>
        <c:dLbls>
          <c:showLegendKey val="0"/>
          <c:showVal val="0"/>
          <c:showCatName val="0"/>
          <c:showSerName val="0"/>
          <c:showPercent val="0"/>
          <c:showBubbleSize val="0"/>
        </c:dLbls>
        <c:gapWidth val="219"/>
        <c:overlap val="-27"/>
        <c:axId val="135836144"/>
        <c:axId val="135836624"/>
      </c:barChart>
      <c:catAx>
        <c:axId val="13583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36624"/>
        <c:crosses val="autoZero"/>
        <c:auto val="1"/>
        <c:lblAlgn val="ctr"/>
        <c:lblOffset val="100"/>
        <c:noMultiLvlLbl val="0"/>
      </c:catAx>
      <c:valAx>
        <c:axId val="13583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36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[Fall 2025 - Facebook_ProfilePerformance_Dashboard.xlsx]Dashboard!PivotTable10</c:name>
    <c:fmtId val="0"/>
  </c:pivotSource>
  <c:chart>
    <c:autoTitleDeleted val="0"/>
    <c:pivotFmts>
      <c:pivotFmt>
        <c:idx val="0"/>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Dashboard!$B$23</c:f>
              <c:strCache>
                <c:ptCount val="1"/>
                <c:pt idx="0">
                  <c:v>Sum of Net Audience Growth</c:v>
                </c:pt>
              </c:strCache>
            </c:strRef>
          </c:tx>
          <c:spPr>
            <a:ln w="38100" cap="rnd">
              <a:solidFill>
                <a:schemeClr val="accent1"/>
              </a:solidFill>
              <a:round/>
            </a:ln>
            <a:effectLst/>
          </c:spPr>
          <c:marker>
            <c:symbol val="circle"/>
            <c:size val="8"/>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Dashboard!$A$24:$A$29</c:f>
              <c:strCache>
                <c:ptCount val="5"/>
                <c:pt idx="0">
                  <c:v>Jun</c:v>
                </c:pt>
                <c:pt idx="1">
                  <c:v>Jul</c:v>
                </c:pt>
                <c:pt idx="2">
                  <c:v>Aug</c:v>
                </c:pt>
                <c:pt idx="3">
                  <c:v>Sep</c:v>
                </c:pt>
                <c:pt idx="4">
                  <c:v>Oct</c:v>
                </c:pt>
              </c:strCache>
            </c:strRef>
          </c:cat>
          <c:val>
            <c:numRef>
              <c:f>Dashboard!$B$24:$B$29</c:f>
              <c:numCache>
                <c:formatCode>General</c:formatCode>
                <c:ptCount val="5"/>
                <c:pt idx="0">
                  <c:v>0</c:v>
                </c:pt>
                <c:pt idx="1">
                  <c:v>1</c:v>
                </c:pt>
                <c:pt idx="2">
                  <c:v>4</c:v>
                </c:pt>
                <c:pt idx="3">
                  <c:v>4</c:v>
                </c:pt>
                <c:pt idx="4">
                  <c:v>2</c:v>
                </c:pt>
              </c:numCache>
            </c:numRef>
          </c:val>
          <c:smooth val="0"/>
          <c:extLst>
            <c:ext xmlns:c16="http://schemas.microsoft.com/office/drawing/2014/chart" uri="{C3380CC4-5D6E-409C-BE32-E72D297353CC}">
              <c16:uniqueId val="{00000000-9414-4939-9C1C-FBF3B987CC01}"/>
            </c:ext>
          </c:extLst>
        </c:ser>
        <c:ser>
          <c:idx val="1"/>
          <c:order val="1"/>
          <c:tx>
            <c:strRef>
              <c:f>Dashboard!$C$23</c:f>
              <c:strCache>
                <c:ptCount val="1"/>
                <c:pt idx="0">
                  <c:v>Sum of Engagement Rate (per Impression)</c:v>
                </c:pt>
              </c:strCache>
            </c:strRef>
          </c:tx>
          <c:spPr>
            <a:ln w="38100" cap="rnd">
              <a:solidFill>
                <a:schemeClr val="accent2"/>
              </a:solidFill>
              <a:round/>
            </a:ln>
            <a:effectLst/>
          </c:spPr>
          <c:marker>
            <c:symbol val="circle"/>
            <c:size val="8"/>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Dashboard!$A$24:$A$29</c:f>
              <c:strCache>
                <c:ptCount val="5"/>
                <c:pt idx="0">
                  <c:v>Jun</c:v>
                </c:pt>
                <c:pt idx="1">
                  <c:v>Jul</c:v>
                </c:pt>
                <c:pt idx="2">
                  <c:v>Aug</c:v>
                </c:pt>
                <c:pt idx="3">
                  <c:v>Sep</c:v>
                </c:pt>
                <c:pt idx="4">
                  <c:v>Oct</c:v>
                </c:pt>
              </c:strCache>
            </c:strRef>
          </c:cat>
          <c:val>
            <c:numRef>
              <c:f>Dashboard!$C$24:$C$29</c:f>
              <c:numCache>
                <c:formatCode>General</c:formatCode>
                <c:ptCount val="5"/>
                <c:pt idx="0">
                  <c:v>1.7046000000000001</c:v>
                </c:pt>
                <c:pt idx="1">
                  <c:v>3.6275000000000004</c:v>
                </c:pt>
                <c:pt idx="2">
                  <c:v>0.79380000000000006</c:v>
                </c:pt>
                <c:pt idx="3">
                  <c:v>2.0404</c:v>
                </c:pt>
                <c:pt idx="4">
                  <c:v>1.0568</c:v>
                </c:pt>
              </c:numCache>
            </c:numRef>
          </c:val>
          <c:smooth val="0"/>
          <c:extLst>
            <c:ext xmlns:c16="http://schemas.microsoft.com/office/drawing/2014/chart" uri="{C3380CC4-5D6E-409C-BE32-E72D297353CC}">
              <c16:uniqueId val="{00000001-9414-4939-9C1C-FBF3B987CC01}"/>
            </c:ext>
          </c:extLst>
        </c:ser>
        <c:dLbls>
          <c:showLegendKey val="0"/>
          <c:showVal val="0"/>
          <c:showCatName val="0"/>
          <c:showSerName val="0"/>
          <c:showPercent val="0"/>
          <c:showBubbleSize val="0"/>
        </c:dLbls>
        <c:marker val="1"/>
        <c:smooth val="0"/>
        <c:axId val="961838304"/>
        <c:axId val="961836864"/>
      </c:lineChart>
      <c:catAx>
        <c:axId val="96183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61836864"/>
        <c:crosses val="autoZero"/>
        <c:auto val="1"/>
        <c:lblAlgn val="ctr"/>
        <c:lblOffset val="100"/>
        <c:noMultiLvlLbl val="0"/>
      </c:catAx>
      <c:valAx>
        <c:axId val="96183686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83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13</xdr:col>
      <xdr:colOff>487680</xdr:colOff>
      <xdr:row>28</xdr:row>
      <xdr:rowOff>22860</xdr:rowOff>
    </xdr:to>
    <xdr:sp macro="" textlink="">
      <xdr:nvSpPr>
        <xdr:cNvPr id="2" name="TextBox 1">
          <a:extLst>
            <a:ext uri="{FF2B5EF4-FFF2-40B4-BE49-F238E27FC236}">
              <a16:creationId xmlns:a16="http://schemas.microsoft.com/office/drawing/2014/main" id="{1C385E02-FF53-4BCA-8A9E-FA1B2C93CF6E}"/>
            </a:ext>
          </a:extLst>
        </xdr:cNvPr>
        <xdr:cNvSpPr txBox="1"/>
      </xdr:nvSpPr>
      <xdr:spPr>
        <a:xfrm>
          <a:off x="609600" y="182880"/>
          <a:ext cx="7802880" cy="4960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a:t>
          </a:r>
          <a:r>
            <a:rPr lang="en-US" sz="1100" b="1" baseline="0"/>
            <a:t> view the overall performance of the OC page.</a:t>
          </a:r>
        </a:p>
        <a:p>
          <a:endParaRPr lang="en-US" sz="1100" baseline="0"/>
        </a:p>
        <a:p>
          <a:r>
            <a:rPr lang="en-US" b="1"/>
            <a:t>1. Download the Facebook Page Data from Sprout Social</a:t>
          </a:r>
        </a:p>
        <a:p>
          <a:r>
            <a:rPr lang="en-US"/>
            <a:t>Go to the Facebook page account.</a:t>
          </a:r>
        </a:p>
        <a:p>
          <a:r>
            <a:rPr lang="en-US"/>
            <a:t>Download the </a:t>
          </a:r>
          <a:r>
            <a:rPr lang="en-US" b="1"/>
            <a:t>last 90 days ( or according</a:t>
          </a:r>
          <a:r>
            <a:rPr lang="en-US" b="1" baseline="0"/>
            <a:t> to your requirement)</a:t>
          </a:r>
          <a:r>
            <a:rPr lang="en-US"/>
            <a:t> of account insights as a </a:t>
          </a:r>
          <a:r>
            <a:rPr lang="en-US" b="1"/>
            <a:t>CSV file</a:t>
          </a:r>
          <a:r>
            <a:rPr lang="en-US"/>
            <a:t>.</a:t>
          </a:r>
        </a:p>
        <a:p>
          <a:r>
            <a:rPr lang="en-US" b="1"/>
            <a:t>Used data from</a:t>
          </a:r>
          <a:r>
            <a:rPr lang="en-US" b="1" baseline="0"/>
            <a:t> 1 June 2025 till 29th Oct 2025</a:t>
          </a:r>
          <a:endParaRPr lang="en-US" b="1"/>
        </a:p>
        <a:p>
          <a:br>
            <a:rPr lang="en-US"/>
          </a:br>
          <a:endParaRPr lang="en-US"/>
        </a:p>
        <a:p>
          <a:r>
            <a:rPr lang="en-US" b="1"/>
            <a:t>2. Update the Profile Performance (OC) Sheet</a:t>
          </a:r>
        </a:p>
        <a:p>
          <a:r>
            <a:rPr lang="en-US"/>
            <a:t>Open the </a:t>
          </a:r>
          <a:r>
            <a:rPr lang="en-US" b="1"/>
            <a:t>Profile Performance (OC)</a:t>
          </a:r>
          <a:r>
            <a:rPr lang="en-US"/>
            <a:t> sheet.</a:t>
          </a:r>
        </a:p>
        <a:p>
          <a:r>
            <a:rPr lang="en-US"/>
            <a:t>Copy and paste all data from the downloaded CSV file into this sheet.</a:t>
          </a:r>
        </a:p>
        <a:p>
          <a:r>
            <a:rPr lang="en-US"/>
            <a:t>The </a:t>
          </a:r>
          <a:r>
            <a:rPr lang="en-US" b="1"/>
            <a:t>Month column (Column B)</a:t>
          </a:r>
          <a:r>
            <a:rPr lang="en-US"/>
            <a:t> is generated using a formula</a:t>
          </a:r>
          <a:r>
            <a:rPr lang="en-US" baseline="0"/>
            <a:t> : </a:t>
          </a:r>
          <a:r>
            <a:rPr lang="en-US" b="1" baseline="0"/>
            <a:t>=TEXT(Date value, "mmm")</a:t>
          </a:r>
          <a:br>
            <a:rPr lang="en-US"/>
          </a:br>
          <a:r>
            <a:rPr lang="en-US"/>
            <a:t>After pasting new data, </a:t>
          </a:r>
          <a:r>
            <a:rPr lang="en-US" b="1"/>
            <a:t>recreate or drag down the Month formula</a:t>
          </a:r>
          <a:r>
            <a:rPr lang="en-US"/>
            <a:t> so month values populate for all rows.</a:t>
          </a:r>
        </a:p>
        <a:p>
          <a:br>
            <a:rPr lang="en-US"/>
          </a:br>
          <a:endParaRPr lang="en-US"/>
        </a:p>
        <a:p>
          <a:r>
            <a:rPr lang="en-US" b="1"/>
            <a:t>3. Refresh the Pivot Tables</a:t>
          </a:r>
        </a:p>
        <a:p>
          <a:r>
            <a:rPr lang="en-US"/>
            <a:t>Go to the </a:t>
          </a:r>
          <a:r>
            <a:rPr lang="en-US" b="1"/>
            <a:t>Dashboard_Final</a:t>
          </a:r>
          <a:r>
            <a:rPr lang="en-US"/>
            <a:t> sheet.</a:t>
          </a:r>
        </a:p>
        <a:p>
          <a:r>
            <a:rPr lang="en-US"/>
            <a:t>Refresh </a:t>
          </a:r>
          <a:r>
            <a:rPr lang="en-US" b="1"/>
            <a:t>all pivot tables</a:t>
          </a:r>
          <a:r>
            <a:rPr lang="en-US"/>
            <a:t> to make them pull the updated data.</a:t>
          </a:r>
        </a:p>
        <a:p>
          <a:r>
            <a:rPr lang="en-US"/>
            <a:t>Refresh the </a:t>
          </a:r>
          <a:r>
            <a:rPr lang="en-US" b="1"/>
            <a:t>Month slicer</a:t>
          </a:r>
          <a:r>
            <a:rPr lang="en-US"/>
            <a:t> as well so new months appear.</a:t>
          </a:r>
        </a:p>
        <a:p>
          <a:br>
            <a:rPr lang="en-US"/>
          </a:br>
          <a:endParaRPr lang="en-US"/>
        </a:p>
        <a:p>
          <a:r>
            <a:rPr lang="en-US" b="1"/>
            <a:t>4. Refresh All Charts</a:t>
          </a:r>
        </a:p>
        <a:p>
          <a:r>
            <a:rPr lang="en-US"/>
            <a:t>After refreshing pivot tables, refresh each </a:t>
          </a:r>
          <a:r>
            <a:rPr lang="en-US" b="1"/>
            <a:t>chart</a:t>
          </a:r>
          <a:r>
            <a:rPr lang="en-US"/>
            <a:t> on the Dashboard so visuals reflect the new data.</a:t>
          </a:r>
        </a:p>
        <a:p>
          <a:br>
            <a:rPr lang="en-US"/>
          </a:br>
          <a:endParaRPr lang="en-US"/>
        </a:p>
        <a:p>
          <a:r>
            <a:rPr lang="en-US" b="1"/>
            <a:t>5. Use Slicers for Filtering</a:t>
          </a:r>
        </a:p>
        <a:p>
          <a:r>
            <a:rPr lang="en-US"/>
            <a:t>The </a:t>
          </a:r>
          <a:r>
            <a:rPr lang="en-US" b="1"/>
            <a:t>Month</a:t>
          </a:r>
          <a:r>
            <a:rPr lang="en-US"/>
            <a:t> and </a:t>
          </a:r>
          <a:r>
            <a:rPr lang="en-US" b="1"/>
            <a:t>Date</a:t>
          </a:r>
          <a:r>
            <a:rPr lang="en-US"/>
            <a:t> slicers allow you to filter the dashboard.</a:t>
          </a:r>
        </a:p>
        <a:p>
          <a:r>
            <a:rPr lang="en-US"/>
            <a:t>Selecting a month or specific date will automatically update </a:t>
          </a:r>
          <a:r>
            <a:rPr lang="en-US" b="1"/>
            <a:t>all charts and KPIs</a:t>
          </a:r>
          <a:r>
            <a:rPr lang="en-US"/>
            <a:t> for the selected period.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30480</xdr:colOff>
      <xdr:row>0</xdr:row>
      <xdr:rowOff>99060</xdr:rowOff>
    </xdr:from>
    <xdr:to>
      <xdr:col>16</xdr:col>
      <xdr:colOff>518160</xdr:colOff>
      <xdr:row>17</xdr:row>
      <xdr:rowOff>129540</xdr:rowOff>
    </xdr:to>
    <xdr:graphicFrame macro="">
      <xdr:nvGraphicFramePr>
        <xdr:cNvPr id="2" name="Chart 1">
          <a:extLst>
            <a:ext uri="{FF2B5EF4-FFF2-40B4-BE49-F238E27FC236}">
              <a16:creationId xmlns:a16="http://schemas.microsoft.com/office/drawing/2014/main" id="{A00A6184-52A1-638D-1E27-F3B7DD14FF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548640</xdr:colOff>
      <xdr:row>27</xdr:row>
      <xdr:rowOff>144780</xdr:rowOff>
    </xdr:from>
    <xdr:to>
      <xdr:col>18</xdr:col>
      <xdr:colOff>243840</xdr:colOff>
      <xdr:row>42</xdr:row>
      <xdr:rowOff>144780</xdr:rowOff>
    </xdr:to>
    <xdr:graphicFrame macro="">
      <xdr:nvGraphicFramePr>
        <xdr:cNvPr id="3" name="Chart 2">
          <a:extLst>
            <a:ext uri="{FF2B5EF4-FFF2-40B4-BE49-F238E27FC236}">
              <a16:creationId xmlns:a16="http://schemas.microsoft.com/office/drawing/2014/main" id="{72CF47E0-323C-909C-7769-A9D6D7DA54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236220</xdr:colOff>
      <xdr:row>46</xdr:row>
      <xdr:rowOff>99060</xdr:rowOff>
    </xdr:from>
    <xdr:to>
      <xdr:col>9</xdr:col>
      <xdr:colOff>114300</xdr:colOff>
      <xdr:row>61</xdr:row>
      <xdr:rowOff>99060</xdr:rowOff>
    </xdr:to>
    <xdr:graphicFrame macro="">
      <xdr:nvGraphicFramePr>
        <xdr:cNvPr id="4" name="Chart 3">
          <a:extLst>
            <a:ext uri="{FF2B5EF4-FFF2-40B4-BE49-F238E27FC236}">
              <a16:creationId xmlns:a16="http://schemas.microsoft.com/office/drawing/2014/main" id="{A3BF7FFB-CBB4-797F-B709-5D513599EC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152400</xdr:colOff>
      <xdr:row>46</xdr:row>
      <xdr:rowOff>45720</xdr:rowOff>
    </xdr:from>
    <xdr:to>
      <xdr:col>17</xdr:col>
      <xdr:colOff>457200</xdr:colOff>
      <xdr:row>61</xdr:row>
      <xdr:rowOff>45720</xdr:rowOff>
    </xdr:to>
    <xdr:graphicFrame macro="">
      <xdr:nvGraphicFramePr>
        <xdr:cNvPr id="5" name="Chart 4">
          <a:extLst>
            <a:ext uri="{FF2B5EF4-FFF2-40B4-BE49-F238E27FC236}">
              <a16:creationId xmlns:a16="http://schemas.microsoft.com/office/drawing/2014/main" id="{A8DE9EAF-1DBA-94B2-D560-DD92121E97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868680</xdr:colOff>
      <xdr:row>27</xdr:row>
      <xdr:rowOff>160020</xdr:rowOff>
    </xdr:from>
    <xdr:to>
      <xdr:col>9</xdr:col>
      <xdr:colOff>502920</xdr:colOff>
      <xdr:row>42</xdr:row>
      <xdr:rowOff>160020</xdr:rowOff>
    </xdr:to>
    <xdr:graphicFrame macro="">
      <xdr:nvGraphicFramePr>
        <xdr:cNvPr id="6" name="Chart 5">
          <a:extLst>
            <a:ext uri="{FF2B5EF4-FFF2-40B4-BE49-F238E27FC236}">
              <a16:creationId xmlns:a16="http://schemas.microsoft.com/office/drawing/2014/main" id="{E74D7521-51FE-14DD-DEA1-542B7C3E13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647700</xdr:colOff>
      <xdr:row>10</xdr:row>
      <xdr:rowOff>99061</xdr:rowOff>
    </xdr:from>
    <xdr:to>
      <xdr:col>6</xdr:col>
      <xdr:colOff>516255</xdr:colOff>
      <xdr:row>20</xdr:row>
      <xdr:rowOff>15240</xdr:rowOff>
    </xdr:to>
    <mc:AlternateContent xmlns:mc="http://schemas.openxmlformats.org/markup-compatibility/2006" xmlns:a14="http://schemas.microsoft.com/office/drawing/2010/main">
      <mc:Choice Requires="a14">
        <xdr:graphicFrame macro="">
          <xdr:nvGraphicFramePr>
            <xdr:cNvPr id="7" name="Date">
              <a:extLst>
                <a:ext uri="{FF2B5EF4-FFF2-40B4-BE49-F238E27FC236}">
                  <a16:creationId xmlns:a16="http://schemas.microsoft.com/office/drawing/2014/main" id="{06059CFC-EB7C-3A07-ED5A-673738954C1C}"/>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5951220" y="1927861"/>
              <a:ext cx="1463040" cy="1752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822960</xdr:colOff>
      <xdr:row>10</xdr:row>
      <xdr:rowOff>137161</xdr:rowOff>
    </xdr:from>
    <xdr:to>
      <xdr:col>5</xdr:col>
      <xdr:colOff>95250</xdr:colOff>
      <xdr:row>19</xdr:row>
      <xdr:rowOff>95251</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C2005751-EA6B-BA0C-1720-15A58B4DC81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962400" y="1965961"/>
              <a:ext cx="1592580" cy="1592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eeksha Mehta" refreshedDate="46001.522733333331" createdVersion="8" refreshedVersion="8" minRefreshableVersion="3" recordCount="151" xr:uid="{7BE99668-A3B9-4669-AF1E-88289A69E9BE}">
  <cacheSource type="worksheet">
    <worksheetSource name="Table1"/>
  </cacheSource>
  <cacheFields count="26">
    <cacheField name="Date" numFmtId="14">
      <sharedItems containsSemiMixedTypes="0" containsNonDate="0" containsDate="1" containsString="0" minDate="2025-06-01T00:00:00" maxDate="2025-10-30T00:00:00" count="151">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sharedItems>
    </cacheField>
    <cacheField name="Month" numFmtId="14">
      <sharedItems count="5">
        <s v="Jun"/>
        <s v="Jul"/>
        <s v="Aug"/>
        <s v="Sep"/>
        <s v="Oct"/>
      </sharedItems>
    </cacheField>
    <cacheField name="Audience" numFmtId="0">
      <sharedItems containsString="0" containsBlank="1" containsNumber="1" containsInteger="1" minValue="114" maxValue="125"/>
    </cacheField>
    <cacheField name="Net Audience Growth" numFmtId="0">
      <sharedItems containsString="0" containsBlank="1" containsNumber="1" containsInteger="1" minValue="-1" maxValue="2"/>
    </cacheField>
    <cacheField name="Audience Gained" numFmtId="0">
      <sharedItems containsString="0" containsBlank="1" containsNumber="1" containsInteger="1" minValue="113" maxValue="127"/>
    </cacheField>
    <cacheField name="AGR%" numFmtId="0">
      <sharedItems containsString="0" containsBlank="1" containsNumber="1" minValue="-0.8771929824561403" maxValue="1.680672268907563"/>
    </cacheField>
    <cacheField name="Sent Messages (Total)" numFmtId="0">
      <sharedItems containsSemiMixedTypes="0" containsString="0" containsNumber="1" containsInteger="1" minValue="0" maxValue="2"/>
    </cacheField>
    <cacheField name="Published Posts (Total)" numFmtId="0">
      <sharedItems containsSemiMixedTypes="0" containsString="0" containsNumber="1" containsInteger="1" minValue="0" maxValue="1"/>
    </cacheField>
    <cacheField name="Received Messages (Total)" numFmtId="0">
      <sharedItems containsSemiMixedTypes="0" containsString="0" containsNumber="1" containsInteger="1" minValue="0" maxValue="7"/>
    </cacheField>
    <cacheField name="Impressions" numFmtId="0">
      <sharedItems containsString="0" containsBlank="1" containsNumber="1" containsInteger="1" minValue="0" maxValue="321"/>
    </cacheField>
    <cacheField name="Video Views" numFmtId="0">
      <sharedItems containsString="0" containsBlank="1" containsNumber="1" containsInteger="1" minValue="0" maxValue="4"/>
    </cacheField>
    <cacheField name="Engagements" numFmtId="0">
      <sharedItems containsSemiMixedTypes="0" containsString="0" containsNumber="1" containsInteger="1" minValue="0" maxValue="96"/>
    </cacheField>
    <cacheField name="Engagement Rate (per Impression)" numFmtId="0">
      <sharedItems containsString="0" containsBlank="1" containsNumber="1" minValue="0" maxValue="1.0625"/>
    </cacheField>
    <cacheField name="Reactions" numFmtId="0">
      <sharedItems containsSemiMixedTypes="0" containsString="0" containsNumber="1" containsInteger="1" minValue="0" maxValue="41"/>
    </cacheField>
    <cacheField name="Comments" numFmtId="0">
      <sharedItems containsSemiMixedTypes="0" containsString="0" containsNumber="1" containsInteger="1" minValue="0" maxValue="7"/>
    </cacheField>
    <cacheField name="Shares" numFmtId="0">
      <sharedItems containsSemiMixedTypes="0" containsString="0" containsNumber="1" containsInteger="1" minValue="0" maxValue="2"/>
    </cacheField>
    <cacheField name="Post Link Clicks" numFmtId="0">
      <sharedItems containsSemiMixedTypes="0" containsString="0" containsNumber="1" containsInteger="1" minValue="0" maxValue="1"/>
    </cacheField>
    <cacheField name="Saves" numFmtId="0">
      <sharedItems containsNonDate="0" containsString="0" containsBlank="1"/>
    </cacheField>
    <cacheField name="Other Post Clicks" numFmtId="0">
      <sharedItems containsSemiMixedTypes="0" containsString="0" containsNumber="1" containsInteger="1" minValue="0" maxValue="46"/>
    </cacheField>
    <cacheField name="Sent Posts (Facebook)" numFmtId="0">
      <sharedItems containsSemiMixedTypes="0" containsString="0" containsNumber="1" containsInteger="1" minValue="0" maxValue="1"/>
    </cacheField>
    <cacheField name="Sent Ad Posts (Facebook)" numFmtId="0">
      <sharedItems containsSemiMixedTypes="0" containsString="0" containsNumber="1" containsInteger="1" minValue="0" maxValue="0"/>
    </cacheField>
    <cacheField name="Sent Comments (Facebook)" numFmtId="0">
      <sharedItems containsSemiMixedTypes="0" containsString="0" containsNumber="1" containsInteger="1" minValue="0" maxValue="0"/>
    </cacheField>
    <cacheField name="Sent Ad Comments (Facebook)" numFmtId="0">
      <sharedItems containsSemiMixedTypes="0" containsString="0" containsNumber="1" containsInteger="1" minValue="0" maxValue="0"/>
    </cacheField>
    <cacheField name="Sent Private Messages (Facebook)" numFmtId="0">
      <sharedItems containsSemiMixedTypes="0" containsString="0" containsNumber="1" containsInteger="1" minValue="0" maxValue="2"/>
    </cacheField>
    <cacheField name="Received Wall Posts (Facebook)" numFmtId="0">
      <sharedItems containsSemiMixedTypes="0" containsString="0" containsNumber="1" containsInteger="1" minValue="0" maxValue="2"/>
    </cacheField>
    <cacheField name="Received Private Messages (Facebook)" numFmtId="0">
      <sharedItems containsSemiMixedTypes="0" containsString="0" containsNumber="1" containsInteger="1" minValue="0" maxValue="7"/>
    </cacheField>
  </cacheFields>
  <extLst>
    <ext xmlns:x14="http://schemas.microsoft.com/office/spreadsheetml/2009/9/main" uri="{725AE2AE-9491-48be-B2B4-4EB974FC3084}">
      <x14:pivotCacheDefinition pivotCacheId="10554024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
  <r>
    <x v="0"/>
    <x v="0"/>
    <n v="114"/>
    <n v="0"/>
    <n v="114"/>
    <n v="0"/>
    <n v="0"/>
    <n v="0"/>
    <n v="0"/>
    <n v="2"/>
    <n v="0"/>
    <n v="0"/>
    <n v="0"/>
    <n v="0"/>
    <n v="0"/>
    <n v="0"/>
    <n v="0"/>
    <m/>
    <n v="0"/>
    <n v="0"/>
    <n v="0"/>
    <n v="0"/>
    <n v="0"/>
    <n v="0"/>
    <n v="0"/>
    <n v="0"/>
  </r>
  <r>
    <x v="1"/>
    <x v="0"/>
    <n v="114"/>
    <n v="0"/>
    <n v="114"/>
    <n v="0"/>
    <n v="0"/>
    <n v="0"/>
    <n v="0"/>
    <n v="25"/>
    <n v="0"/>
    <n v="0"/>
    <n v="0"/>
    <n v="0"/>
    <n v="0"/>
    <n v="0"/>
    <n v="0"/>
    <m/>
    <n v="0"/>
    <n v="0"/>
    <n v="0"/>
    <n v="0"/>
    <n v="0"/>
    <n v="0"/>
    <n v="0"/>
    <n v="0"/>
  </r>
  <r>
    <x v="2"/>
    <x v="0"/>
    <n v="114"/>
    <n v="0"/>
    <n v="114"/>
    <n v="0"/>
    <n v="0"/>
    <n v="0"/>
    <n v="0"/>
    <n v="3"/>
    <n v="4"/>
    <n v="0"/>
    <n v="0"/>
    <n v="0"/>
    <n v="0"/>
    <n v="0"/>
    <n v="0"/>
    <m/>
    <n v="0"/>
    <n v="0"/>
    <n v="0"/>
    <n v="0"/>
    <n v="0"/>
    <n v="0"/>
    <n v="0"/>
    <n v="0"/>
  </r>
  <r>
    <x v="3"/>
    <x v="0"/>
    <n v="114"/>
    <n v="0"/>
    <n v="114"/>
    <n v="0"/>
    <n v="0"/>
    <n v="0"/>
    <n v="0"/>
    <n v="18"/>
    <n v="4"/>
    <n v="0"/>
    <n v="0"/>
    <n v="0"/>
    <n v="0"/>
    <n v="0"/>
    <n v="0"/>
    <m/>
    <n v="0"/>
    <n v="0"/>
    <n v="0"/>
    <n v="0"/>
    <n v="0"/>
    <n v="0"/>
    <n v="0"/>
    <n v="0"/>
  </r>
  <r>
    <x v="4"/>
    <x v="0"/>
    <n v="114"/>
    <n v="0"/>
    <n v="114"/>
    <n v="0"/>
    <n v="0"/>
    <n v="0"/>
    <n v="0"/>
    <n v="12"/>
    <n v="2"/>
    <n v="0"/>
    <n v="0"/>
    <n v="0"/>
    <n v="0"/>
    <n v="0"/>
    <n v="0"/>
    <m/>
    <n v="0"/>
    <n v="0"/>
    <n v="0"/>
    <n v="0"/>
    <n v="0"/>
    <n v="0"/>
    <n v="0"/>
    <n v="0"/>
  </r>
  <r>
    <x v="5"/>
    <x v="0"/>
    <n v="114"/>
    <n v="0"/>
    <n v="114"/>
    <n v="0"/>
    <n v="0"/>
    <n v="0"/>
    <n v="0"/>
    <n v="11"/>
    <n v="2"/>
    <n v="0"/>
    <n v="0"/>
    <n v="0"/>
    <n v="0"/>
    <n v="0"/>
    <n v="0"/>
    <m/>
    <n v="0"/>
    <n v="0"/>
    <n v="0"/>
    <n v="0"/>
    <n v="0"/>
    <n v="0"/>
    <n v="0"/>
    <n v="0"/>
  </r>
  <r>
    <x v="6"/>
    <x v="0"/>
    <n v="114"/>
    <n v="0"/>
    <n v="114"/>
    <n v="0"/>
    <n v="0"/>
    <n v="0"/>
    <n v="0"/>
    <n v="4"/>
    <n v="0"/>
    <n v="0"/>
    <n v="0"/>
    <n v="0"/>
    <n v="0"/>
    <n v="0"/>
    <n v="0"/>
    <m/>
    <n v="0"/>
    <n v="0"/>
    <n v="0"/>
    <n v="0"/>
    <n v="0"/>
    <n v="0"/>
    <n v="0"/>
    <n v="0"/>
  </r>
  <r>
    <x v="7"/>
    <x v="0"/>
    <n v="114"/>
    <n v="0"/>
    <n v="114"/>
    <n v="0"/>
    <n v="0"/>
    <n v="0"/>
    <n v="0"/>
    <n v="6"/>
    <n v="1"/>
    <n v="0"/>
    <n v="0"/>
    <n v="0"/>
    <n v="0"/>
    <n v="0"/>
    <n v="0"/>
    <m/>
    <n v="0"/>
    <n v="0"/>
    <n v="0"/>
    <n v="0"/>
    <n v="0"/>
    <n v="0"/>
    <n v="0"/>
    <n v="0"/>
  </r>
  <r>
    <x v="8"/>
    <x v="0"/>
    <n v="114"/>
    <n v="0"/>
    <n v="114"/>
    <n v="0"/>
    <n v="0"/>
    <n v="0"/>
    <n v="0"/>
    <n v="41"/>
    <n v="0"/>
    <n v="0"/>
    <n v="0"/>
    <n v="0"/>
    <n v="0"/>
    <n v="0"/>
    <n v="0"/>
    <m/>
    <n v="0"/>
    <n v="0"/>
    <n v="0"/>
    <n v="0"/>
    <n v="0"/>
    <n v="0"/>
    <n v="0"/>
    <n v="0"/>
  </r>
  <r>
    <x v="9"/>
    <x v="0"/>
    <n v="114"/>
    <n v="0"/>
    <n v="114"/>
    <n v="0"/>
    <n v="0"/>
    <n v="0"/>
    <n v="0"/>
    <n v="4"/>
    <n v="0"/>
    <n v="0"/>
    <n v="0"/>
    <n v="0"/>
    <n v="0"/>
    <n v="0"/>
    <n v="0"/>
    <m/>
    <n v="0"/>
    <n v="0"/>
    <n v="0"/>
    <n v="0"/>
    <n v="0"/>
    <n v="0"/>
    <n v="0"/>
    <n v="0"/>
  </r>
  <r>
    <x v="10"/>
    <x v="0"/>
    <n v="114"/>
    <n v="0"/>
    <n v="114"/>
    <n v="0"/>
    <n v="0"/>
    <n v="0"/>
    <n v="0"/>
    <n v="31"/>
    <n v="0"/>
    <n v="0"/>
    <n v="0"/>
    <n v="0"/>
    <n v="0"/>
    <n v="0"/>
    <n v="0"/>
    <m/>
    <n v="0"/>
    <n v="0"/>
    <n v="0"/>
    <n v="0"/>
    <n v="0"/>
    <n v="0"/>
    <n v="0"/>
    <n v="0"/>
  </r>
  <r>
    <x v="11"/>
    <x v="0"/>
    <n v="114"/>
    <n v="0"/>
    <n v="114"/>
    <n v="0"/>
    <n v="0"/>
    <n v="0"/>
    <n v="0"/>
    <n v="2"/>
    <n v="0"/>
    <n v="0"/>
    <n v="0"/>
    <n v="0"/>
    <n v="0"/>
    <n v="0"/>
    <n v="0"/>
    <m/>
    <n v="0"/>
    <n v="0"/>
    <n v="0"/>
    <n v="0"/>
    <n v="0"/>
    <n v="0"/>
    <n v="0"/>
    <n v="0"/>
  </r>
  <r>
    <x v="12"/>
    <x v="0"/>
    <n v="114"/>
    <n v="0"/>
    <n v="114"/>
    <n v="0"/>
    <n v="0"/>
    <n v="0"/>
    <n v="0"/>
    <n v="8"/>
    <n v="1"/>
    <n v="0"/>
    <n v="0"/>
    <n v="0"/>
    <n v="0"/>
    <n v="0"/>
    <n v="0"/>
    <m/>
    <n v="0"/>
    <n v="0"/>
    <n v="0"/>
    <n v="0"/>
    <n v="0"/>
    <n v="0"/>
    <n v="0"/>
    <n v="0"/>
  </r>
  <r>
    <x v="13"/>
    <x v="0"/>
    <n v="114"/>
    <n v="0"/>
    <n v="114"/>
    <n v="0"/>
    <n v="0"/>
    <n v="0"/>
    <n v="0"/>
    <n v="2"/>
    <n v="0"/>
    <n v="0"/>
    <n v="0"/>
    <n v="0"/>
    <n v="0"/>
    <n v="0"/>
    <n v="0"/>
    <m/>
    <n v="0"/>
    <n v="0"/>
    <n v="0"/>
    <n v="0"/>
    <n v="0"/>
    <n v="0"/>
    <n v="0"/>
    <n v="0"/>
  </r>
  <r>
    <x v="14"/>
    <x v="0"/>
    <n v="114"/>
    <n v="0"/>
    <n v="114"/>
    <n v="0"/>
    <n v="0"/>
    <n v="0"/>
    <n v="0"/>
    <n v="1"/>
    <n v="0"/>
    <n v="0"/>
    <n v="0"/>
    <n v="0"/>
    <n v="0"/>
    <n v="0"/>
    <n v="0"/>
    <m/>
    <n v="0"/>
    <n v="0"/>
    <n v="0"/>
    <n v="0"/>
    <n v="0"/>
    <n v="0"/>
    <n v="0"/>
    <n v="0"/>
  </r>
  <r>
    <x v="15"/>
    <x v="0"/>
    <n v="114"/>
    <n v="0"/>
    <n v="114"/>
    <n v="0"/>
    <n v="0"/>
    <n v="0"/>
    <n v="0"/>
    <n v="19"/>
    <n v="1"/>
    <n v="0"/>
    <n v="0"/>
    <n v="0"/>
    <n v="0"/>
    <n v="0"/>
    <n v="0"/>
    <m/>
    <n v="0"/>
    <n v="0"/>
    <n v="0"/>
    <n v="0"/>
    <n v="0"/>
    <n v="0"/>
    <n v="0"/>
    <n v="0"/>
  </r>
  <r>
    <x v="16"/>
    <x v="0"/>
    <n v="114"/>
    <n v="0"/>
    <n v="114"/>
    <n v="0"/>
    <n v="0"/>
    <n v="0"/>
    <n v="0"/>
    <n v="3"/>
    <n v="0"/>
    <n v="0"/>
    <n v="0"/>
    <n v="0"/>
    <n v="0"/>
    <n v="0"/>
    <n v="0"/>
    <m/>
    <n v="0"/>
    <n v="0"/>
    <n v="0"/>
    <n v="0"/>
    <n v="0"/>
    <n v="0"/>
    <n v="0"/>
    <n v="0"/>
  </r>
  <r>
    <x v="17"/>
    <x v="0"/>
    <n v="115"/>
    <n v="1"/>
    <n v="116"/>
    <n v="0.86956521739130432"/>
    <n v="1"/>
    <n v="1"/>
    <n v="0"/>
    <n v="31"/>
    <n v="0"/>
    <n v="2"/>
    <n v="6.4500000000000002E-2"/>
    <n v="1"/>
    <n v="0"/>
    <n v="0"/>
    <n v="0"/>
    <m/>
    <n v="1"/>
    <n v="1"/>
    <n v="0"/>
    <n v="0"/>
    <n v="0"/>
    <n v="0"/>
    <n v="0"/>
    <n v="0"/>
  </r>
  <r>
    <x v="18"/>
    <x v="0"/>
    <n v="115"/>
    <n v="0"/>
    <n v="115"/>
    <n v="0"/>
    <n v="0"/>
    <n v="0"/>
    <n v="0"/>
    <n v="11"/>
    <n v="0"/>
    <n v="4"/>
    <n v="0.36359999999999998"/>
    <n v="3"/>
    <n v="0"/>
    <n v="0"/>
    <n v="1"/>
    <m/>
    <n v="0"/>
    <n v="0"/>
    <n v="0"/>
    <n v="0"/>
    <n v="0"/>
    <n v="0"/>
    <n v="0"/>
    <n v="0"/>
  </r>
  <r>
    <x v="19"/>
    <x v="0"/>
    <n v="115"/>
    <n v="0"/>
    <n v="115"/>
    <n v="0"/>
    <n v="0"/>
    <n v="0"/>
    <n v="0"/>
    <n v="10"/>
    <n v="0"/>
    <n v="1"/>
    <n v="0.1"/>
    <n v="0"/>
    <n v="0"/>
    <n v="0"/>
    <n v="1"/>
    <m/>
    <n v="0"/>
    <n v="0"/>
    <n v="0"/>
    <n v="0"/>
    <n v="0"/>
    <n v="0"/>
    <n v="0"/>
    <n v="0"/>
  </r>
  <r>
    <x v="20"/>
    <x v="0"/>
    <n v="114"/>
    <n v="-1"/>
    <n v="113"/>
    <n v="-0.8771929824561403"/>
    <n v="0"/>
    <n v="0"/>
    <n v="0"/>
    <n v="1"/>
    <n v="0"/>
    <n v="1"/>
    <n v="1"/>
    <n v="0"/>
    <n v="0"/>
    <n v="0"/>
    <n v="0"/>
    <m/>
    <n v="1"/>
    <n v="0"/>
    <n v="0"/>
    <n v="0"/>
    <n v="0"/>
    <n v="0"/>
    <n v="0"/>
    <n v="0"/>
  </r>
  <r>
    <x v="21"/>
    <x v="0"/>
    <n v="114"/>
    <n v="0"/>
    <n v="114"/>
    <n v="0"/>
    <n v="0"/>
    <n v="0"/>
    <n v="0"/>
    <n v="0"/>
    <n v="0"/>
    <n v="0"/>
    <n v="0"/>
    <n v="0"/>
    <n v="0"/>
    <n v="0"/>
    <n v="0"/>
    <m/>
    <n v="0"/>
    <n v="0"/>
    <n v="0"/>
    <n v="0"/>
    <n v="0"/>
    <n v="0"/>
    <n v="0"/>
    <n v="0"/>
  </r>
  <r>
    <x v="22"/>
    <x v="0"/>
    <n v="114"/>
    <n v="0"/>
    <n v="114"/>
    <n v="0"/>
    <n v="0"/>
    <n v="0"/>
    <n v="0"/>
    <n v="0"/>
    <n v="0"/>
    <n v="0"/>
    <n v="0"/>
    <n v="0"/>
    <n v="0"/>
    <n v="0"/>
    <n v="0"/>
    <m/>
    <n v="0"/>
    <n v="0"/>
    <n v="0"/>
    <n v="0"/>
    <n v="0"/>
    <n v="0"/>
    <n v="0"/>
    <n v="0"/>
  </r>
  <r>
    <x v="23"/>
    <x v="0"/>
    <n v="114"/>
    <n v="0"/>
    <n v="114"/>
    <n v="0"/>
    <n v="0"/>
    <n v="0"/>
    <n v="0"/>
    <n v="7"/>
    <n v="3"/>
    <n v="0"/>
    <n v="0"/>
    <n v="0"/>
    <n v="0"/>
    <n v="0"/>
    <n v="0"/>
    <m/>
    <n v="0"/>
    <n v="0"/>
    <n v="0"/>
    <n v="0"/>
    <n v="0"/>
    <n v="0"/>
    <n v="0"/>
    <n v="0"/>
  </r>
  <r>
    <x v="24"/>
    <x v="0"/>
    <n v="114"/>
    <n v="0"/>
    <n v="114"/>
    <n v="0"/>
    <n v="0"/>
    <n v="0"/>
    <n v="0"/>
    <n v="15"/>
    <n v="0"/>
    <n v="0"/>
    <n v="0"/>
    <n v="0"/>
    <n v="0"/>
    <n v="0"/>
    <n v="0"/>
    <m/>
    <n v="0"/>
    <n v="0"/>
    <n v="0"/>
    <n v="0"/>
    <n v="0"/>
    <n v="0"/>
    <n v="0"/>
    <n v="0"/>
  </r>
  <r>
    <x v="25"/>
    <x v="0"/>
    <n v="115"/>
    <n v="1"/>
    <n v="116"/>
    <n v="0.86956521739130432"/>
    <n v="1"/>
    <n v="1"/>
    <n v="1"/>
    <n v="17"/>
    <n v="0"/>
    <n v="3"/>
    <n v="0.17649999999999999"/>
    <n v="1"/>
    <n v="0"/>
    <n v="0"/>
    <n v="1"/>
    <m/>
    <n v="1"/>
    <n v="1"/>
    <n v="0"/>
    <n v="0"/>
    <n v="0"/>
    <n v="0"/>
    <n v="1"/>
    <n v="0"/>
  </r>
  <r>
    <x v="26"/>
    <x v="0"/>
    <n v="114"/>
    <n v="-1"/>
    <n v="113"/>
    <n v="-0.8771929824561403"/>
    <n v="0"/>
    <n v="0"/>
    <n v="0"/>
    <n v="18"/>
    <n v="2"/>
    <n v="0"/>
    <n v="0"/>
    <n v="0"/>
    <n v="0"/>
    <n v="0"/>
    <n v="0"/>
    <m/>
    <n v="0"/>
    <n v="0"/>
    <n v="0"/>
    <n v="0"/>
    <n v="0"/>
    <n v="0"/>
    <n v="0"/>
    <n v="0"/>
  </r>
  <r>
    <x v="27"/>
    <x v="0"/>
    <n v="114"/>
    <n v="0"/>
    <n v="114"/>
    <n v="0"/>
    <n v="0"/>
    <n v="0"/>
    <n v="0"/>
    <n v="0"/>
    <n v="0"/>
    <n v="0"/>
    <n v="0"/>
    <n v="0"/>
    <n v="0"/>
    <n v="0"/>
    <n v="0"/>
    <m/>
    <n v="0"/>
    <n v="0"/>
    <n v="0"/>
    <n v="0"/>
    <n v="0"/>
    <n v="0"/>
    <n v="0"/>
    <n v="0"/>
  </r>
  <r>
    <x v="28"/>
    <x v="0"/>
    <n v="114"/>
    <n v="0"/>
    <n v="114"/>
    <n v="0"/>
    <n v="0"/>
    <n v="0"/>
    <n v="0"/>
    <n v="0"/>
    <n v="0"/>
    <n v="0"/>
    <n v="0"/>
    <n v="0"/>
    <n v="0"/>
    <n v="0"/>
    <n v="0"/>
    <m/>
    <n v="0"/>
    <n v="0"/>
    <n v="0"/>
    <n v="0"/>
    <n v="0"/>
    <n v="0"/>
    <n v="0"/>
    <n v="0"/>
  </r>
  <r>
    <x v="29"/>
    <x v="0"/>
    <n v="114"/>
    <n v="0"/>
    <n v="114"/>
    <n v="0"/>
    <n v="0"/>
    <n v="0"/>
    <n v="1"/>
    <n v="3"/>
    <n v="0"/>
    <n v="0"/>
    <n v="0"/>
    <n v="0"/>
    <n v="0"/>
    <n v="0"/>
    <n v="0"/>
    <m/>
    <n v="0"/>
    <n v="0"/>
    <n v="0"/>
    <n v="0"/>
    <n v="0"/>
    <n v="0"/>
    <n v="1"/>
    <n v="0"/>
  </r>
  <r>
    <x v="30"/>
    <x v="1"/>
    <n v="114"/>
    <n v="0"/>
    <n v="114"/>
    <n v="0"/>
    <n v="0"/>
    <n v="0"/>
    <n v="0"/>
    <n v="11"/>
    <n v="0"/>
    <n v="0"/>
    <n v="0"/>
    <n v="0"/>
    <n v="0"/>
    <n v="0"/>
    <n v="0"/>
    <m/>
    <n v="0"/>
    <n v="0"/>
    <n v="0"/>
    <n v="0"/>
    <n v="0"/>
    <n v="0"/>
    <n v="0"/>
    <n v="0"/>
  </r>
  <r>
    <x v="31"/>
    <x v="1"/>
    <n v="114"/>
    <n v="0"/>
    <n v="114"/>
    <n v="0"/>
    <n v="0"/>
    <n v="0"/>
    <n v="0"/>
    <n v="8"/>
    <n v="0"/>
    <n v="0"/>
    <n v="0"/>
    <n v="0"/>
    <n v="0"/>
    <n v="0"/>
    <n v="0"/>
    <m/>
    <n v="0"/>
    <n v="0"/>
    <n v="0"/>
    <n v="0"/>
    <n v="0"/>
    <n v="0"/>
    <n v="0"/>
    <n v="0"/>
  </r>
  <r>
    <x v="32"/>
    <x v="1"/>
    <n v="114"/>
    <n v="0"/>
    <n v="114"/>
    <n v="0"/>
    <n v="0"/>
    <n v="0"/>
    <n v="0"/>
    <n v="7"/>
    <n v="0"/>
    <n v="0"/>
    <n v="0"/>
    <n v="0"/>
    <n v="0"/>
    <n v="0"/>
    <n v="0"/>
    <m/>
    <n v="0"/>
    <n v="0"/>
    <n v="0"/>
    <n v="0"/>
    <n v="0"/>
    <n v="0"/>
    <n v="0"/>
    <n v="0"/>
  </r>
  <r>
    <x v="33"/>
    <x v="1"/>
    <n v="114"/>
    <n v="0"/>
    <n v="114"/>
    <n v="0"/>
    <n v="0"/>
    <n v="0"/>
    <n v="0"/>
    <n v="0"/>
    <n v="0"/>
    <n v="0"/>
    <n v="0"/>
    <n v="0"/>
    <n v="0"/>
    <n v="0"/>
    <n v="0"/>
    <m/>
    <n v="0"/>
    <n v="0"/>
    <n v="0"/>
    <n v="0"/>
    <n v="0"/>
    <n v="0"/>
    <n v="0"/>
    <n v="0"/>
  </r>
  <r>
    <x v="34"/>
    <x v="1"/>
    <n v="114"/>
    <n v="0"/>
    <n v="114"/>
    <n v="0"/>
    <n v="0"/>
    <n v="0"/>
    <n v="0"/>
    <n v="5"/>
    <n v="2"/>
    <n v="0"/>
    <n v="0"/>
    <n v="0"/>
    <n v="0"/>
    <n v="0"/>
    <n v="0"/>
    <m/>
    <n v="0"/>
    <n v="0"/>
    <n v="0"/>
    <n v="0"/>
    <n v="0"/>
    <n v="0"/>
    <n v="0"/>
    <n v="0"/>
  </r>
  <r>
    <x v="35"/>
    <x v="1"/>
    <n v="114"/>
    <n v="0"/>
    <n v="114"/>
    <n v="0"/>
    <n v="0"/>
    <n v="0"/>
    <n v="0"/>
    <n v="6"/>
    <n v="0"/>
    <n v="0"/>
    <n v="0"/>
    <n v="0"/>
    <n v="0"/>
    <n v="0"/>
    <n v="0"/>
    <m/>
    <n v="0"/>
    <n v="0"/>
    <n v="0"/>
    <n v="0"/>
    <n v="0"/>
    <n v="0"/>
    <n v="0"/>
    <n v="0"/>
  </r>
  <r>
    <x v="36"/>
    <x v="1"/>
    <n v="114"/>
    <n v="0"/>
    <n v="114"/>
    <n v="0"/>
    <n v="0"/>
    <n v="0"/>
    <n v="0"/>
    <n v="13"/>
    <n v="0"/>
    <n v="0"/>
    <n v="0"/>
    <n v="0"/>
    <n v="0"/>
    <n v="0"/>
    <n v="0"/>
    <m/>
    <n v="0"/>
    <n v="0"/>
    <n v="0"/>
    <n v="0"/>
    <n v="0"/>
    <n v="0"/>
    <n v="0"/>
    <n v="0"/>
  </r>
  <r>
    <x v="37"/>
    <x v="1"/>
    <n v="114"/>
    <n v="0"/>
    <n v="114"/>
    <n v="0"/>
    <n v="0"/>
    <n v="0"/>
    <n v="0"/>
    <n v="23"/>
    <n v="0"/>
    <n v="0"/>
    <n v="0"/>
    <n v="0"/>
    <n v="0"/>
    <n v="0"/>
    <n v="0"/>
    <m/>
    <n v="0"/>
    <n v="0"/>
    <n v="0"/>
    <n v="0"/>
    <n v="0"/>
    <n v="0"/>
    <n v="0"/>
    <n v="0"/>
  </r>
  <r>
    <x v="38"/>
    <x v="1"/>
    <n v="114"/>
    <n v="0"/>
    <n v="114"/>
    <n v="0"/>
    <n v="0"/>
    <n v="0"/>
    <n v="2"/>
    <n v="16"/>
    <n v="0"/>
    <n v="0"/>
    <n v="0"/>
    <n v="0"/>
    <n v="0"/>
    <n v="0"/>
    <n v="0"/>
    <m/>
    <n v="0"/>
    <n v="0"/>
    <n v="0"/>
    <n v="0"/>
    <n v="0"/>
    <n v="0"/>
    <n v="2"/>
    <n v="0"/>
  </r>
  <r>
    <x v="39"/>
    <x v="1"/>
    <n v="114"/>
    <n v="0"/>
    <n v="114"/>
    <n v="0"/>
    <n v="1"/>
    <n v="1"/>
    <n v="0"/>
    <n v="25"/>
    <n v="0"/>
    <n v="0"/>
    <n v="0"/>
    <n v="0"/>
    <n v="0"/>
    <n v="0"/>
    <n v="0"/>
    <m/>
    <n v="0"/>
    <n v="1"/>
    <n v="0"/>
    <n v="0"/>
    <n v="0"/>
    <n v="0"/>
    <n v="0"/>
    <n v="0"/>
  </r>
  <r>
    <x v="40"/>
    <x v="1"/>
    <n v="114"/>
    <n v="0"/>
    <n v="114"/>
    <n v="0"/>
    <n v="0"/>
    <n v="0"/>
    <n v="0"/>
    <n v="0"/>
    <n v="0"/>
    <n v="0"/>
    <n v="0"/>
    <n v="0"/>
    <n v="0"/>
    <n v="0"/>
    <n v="0"/>
    <m/>
    <n v="0"/>
    <n v="0"/>
    <n v="0"/>
    <n v="0"/>
    <n v="0"/>
    <n v="0"/>
    <n v="0"/>
    <n v="0"/>
  </r>
  <r>
    <x v="41"/>
    <x v="1"/>
    <n v="114"/>
    <n v="0"/>
    <n v="114"/>
    <n v="0"/>
    <n v="0"/>
    <n v="0"/>
    <n v="0"/>
    <n v="2"/>
    <n v="0"/>
    <n v="0"/>
    <n v="0"/>
    <n v="0"/>
    <n v="0"/>
    <n v="0"/>
    <n v="0"/>
    <m/>
    <n v="0"/>
    <n v="0"/>
    <n v="0"/>
    <n v="0"/>
    <n v="0"/>
    <n v="0"/>
    <n v="0"/>
    <n v="0"/>
  </r>
  <r>
    <x v="42"/>
    <x v="1"/>
    <n v="114"/>
    <n v="0"/>
    <n v="114"/>
    <n v="0"/>
    <n v="0"/>
    <n v="0"/>
    <n v="0"/>
    <n v="0"/>
    <n v="0"/>
    <n v="0"/>
    <n v="0"/>
    <n v="0"/>
    <n v="0"/>
    <n v="0"/>
    <n v="0"/>
    <m/>
    <n v="0"/>
    <n v="0"/>
    <n v="0"/>
    <n v="0"/>
    <n v="0"/>
    <n v="0"/>
    <n v="0"/>
    <n v="0"/>
  </r>
  <r>
    <x v="43"/>
    <x v="1"/>
    <n v="114"/>
    <n v="0"/>
    <n v="114"/>
    <n v="0"/>
    <n v="0"/>
    <n v="0"/>
    <n v="0"/>
    <n v="4"/>
    <n v="0"/>
    <n v="0"/>
    <n v="0"/>
    <n v="0"/>
    <n v="0"/>
    <n v="0"/>
    <n v="0"/>
    <m/>
    <n v="0"/>
    <n v="0"/>
    <n v="0"/>
    <n v="0"/>
    <n v="0"/>
    <n v="0"/>
    <n v="0"/>
    <n v="0"/>
  </r>
  <r>
    <x v="44"/>
    <x v="1"/>
    <n v="114"/>
    <n v="0"/>
    <n v="114"/>
    <n v="0"/>
    <n v="0"/>
    <n v="0"/>
    <n v="0"/>
    <n v="0"/>
    <n v="0"/>
    <n v="0"/>
    <n v="0"/>
    <n v="0"/>
    <n v="0"/>
    <n v="0"/>
    <n v="0"/>
    <m/>
    <n v="0"/>
    <n v="0"/>
    <n v="0"/>
    <n v="0"/>
    <n v="0"/>
    <n v="0"/>
    <n v="0"/>
    <n v="0"/>
  </r>
  <r>
    <x v="45"/>
    <x v="1"/>
    <n v="115"/>
    <n v="1"/>
    <n v="116"/>
    <n v="0.86956521739130432"/>
    <n v="0"/>
    <n v="0"/>
    <n v="0"/>
    <n v="1"/>
    <n v="0"/>
    <n v="0"/>
    <n v="0"/>
    <n v="0"/>
    <n v="0"/>
    <n v="0"/>
    <n v="0"/>
    <m/>
    <n v="0"/>
    <n v="0"/>
    <n v="0"/>
    <n v="0"/>
    <n v="0"/>
    <n v="0"/>
    <n v="0"/>
    <n v="0"/>
  </r>
  <r>
    <x v="46"/>
    <x v="1"/>
    <n v="114"/>
    <n v="-1"/>
    <n v="113"/>
    <n v="-0.8771929824561403"/>
    <n v="0"/>
    <n v="0"/>
    <n v="2"/>
    <n v="3"/>
    <n v="0"/>
    <n v="0"/>
    <n v="0"/>
    <n v="0"/>
    <n v="0"/>
    <n v="0"/>
    <n v="0"/>
    <m/>
    <n v="0"/>
    <n v="0"/>
    <n v="0"/>
    <n v="0"/>
    <n v="0"/>
    <n v="0"/>
    <n v="2"/>
    <n v="0"/>
  </r>
  <r>
    <x v="47"/>
    <x v="1"/>
    <n v="114"/>
    <n v="0"/>
    <n v="114"/>
    <n v="0"/>
    <n v="0"/>
    <n v="0"/>
    <n v="1"/>
    <n v="0"/>
    <n v="0"/>
    <n v="0"/>
    <n v="0"/>
    <n v="0"/>
    <n v="0"/>
    <n v="0"/>
    <n v="0"/>
    <m/>
    <n v="0"/>
    <n v="0"/>
    <n v="0"/>
    <n v="0"/>
    <n v="0"/>
    <n v="0"/>
    <n v="1"/>
    <n v="0"/>
  </r>
  <r>
    <x v="48"/>
    <x v="1"/>
    <n v="114"/>
    <n v="0"/>
    <n v="114"/>
    <n v="0"/>
    <n v="0"/>
    <n v="0"/>
    <n v="0"/>
    <n v="0"/>
    <n v="0"/>
    <n v="0"/>
    <n v="0"/>
    <n v="0"/>
    <n v="0"/>
    <n v="0"/>
    <n v="0"/>
    <m/>
    <n v="0"/>
    <n v="0"/>
    <n v="0"/>
    <n v="0"/>
    <n v="0"/>
    <n v="0"/>
    <n v="0"/>
    <n v="0"/>
  </r>
  <r>
    <x v="49"/>
    <x v="1"/>
    <n v="114"/>
    <n v="0"/>
    <n v="114"/>
    <n v="0"/>
    <n v="0"/>
    <n v="0"/>
    <n v="0"/>
    <n v="2"/>
    <n v="0"/>
    <n v="0"/>
    <n v="0"/>
    <n v="0"/>
    <n v="0"/>
    <n v="0"/>
    <n v="0"/>
    <m/>
    <n v="0"/>
    <n v="0"/>
    <n v="0"/>
    <n v="0"/>
    <n v="0"/>
    <n v="0"/>
    <n v="0"/>
    <n v="0"/>
  </r>
  <r>
    <x v="50"/>
    <x v="1"/>
    <n v="114"/>
    <n v="0"/>
    <n v="114"/>
    <n v="0"/>
    <n v="1"/>
    <n v="1"/>
    <n v="0"/>
    <n v="78"/>
    <n v="0"/>
    <n v="0"/>
    <n v="0"/>
    <n v="0"/>
    <n v="0"/>
    <n v="0"/>
    <n v="0"/>
    <m/>
    <n v="0"/>
    <n v="1"/>
    <n v="0"/>
    <n v="0"/>
    <n v="0"/>
    <n v="0"/>
    <n v="0"/>
    <n v="0"/>
  </r>
  <r>
    <x v="51"/>
    <x v="1"/>
    <n v="115"/>
    <n v="1"/>
    <n v="116"/>
    <n v="0.86956521739130432"/>
    <n v="0"/>
    <n v="0"/>
    <n v="0"/>
    <n v="321"/>
    <n v="0"/>
    <n v="96"/>
    <n v="0.29909999999999998"/>
    <n v="41"/>
    <n v="7"/>
    <n v="2"/>
    <n v="0"/>
    <m/>
    <n v="46"/>
    <n v="0"/>
    <n v="0"/>
    <n v="0"/>
    <n v="0"/>
    <n v="0"/>
    <n v="0"/>
    <n v="0"/>
  </r>
  <r>
    <x v="52"/>
    <x v="1"/>
    <n v="115"/>
    <n v="0"/>
    <n v="115"/>
    <n v="0"/>
    <n v="0"/>
    <n v="0"/>
    <n v="2"/>
    <n v="67"/>
    <n v="0"/>
    <n v="61"/>
    <n v="0.91039999999999999"/>
    <n v="20"/>
    <n v="5"/>
    <n v="0"/>
    <n v="0"/>
    <m/>
    <n v="36"/>
    <n v="0"/>
    <n v="0"/>
    <n v="0"/>
    <n v="0"/>
    <n v="0"/>
    <n v="2"/>
    <n v="0"/>
  </r>
  <r>
    <x v="53"/>
    <x v="1"/>
    <n v="115"/>
    <n v="0"/>
    <n v="115"/>
    <n v="0"/>
    <n v="0"/>
    <n v="0"/>
    <n v="0"/>
    <n v="28"/>
    <n v="0"/>
    <n v="7"/>
    <n v="0.25"/>
    <n v="1"/>
    <n v="2"/>
    <n v="0"/>
    <n v="0"/>
    <m/>
    <n v="4"/>
    <n v="0"/>
    <n v="0"/>
    <n v="0"/>
    <n v="0"/>
    <n v="0"/>
    <n v="0"/>
    <n v="0"/>
  </r>
  <r>
    <x v="54"/>
    <x v="1"/>
    <n v="115"/>
    <n v="0"/>
    <n v="115"/>
    <n v="0"/>
    <n v="0"/>
    <n v="0"/>
    <n v="0"/>
    <n v="16"/>
    <n v="0"/>
    <n v="17"/>
    <n v="1.0625"/>
    <n v="1"/>
    <n v="1"/>
    <n v="0"/>
    <n v="0"/>
    <m/>
    <n v="15"/>
    <n v="0"/>
    <n v="0"/>
    <n v="0"/>
    <n v="0"/>
    <n v="0"/>
    <n v="0"/>
    <n v="0"/>
  </r>
  <r>
    <x v="55"/>
    <x v="1"/>
    <n v="115"/>
    <n v="0"/>
    <n v="115"/>
    <n v="0"/>
    <n v="0"/>
    <n v="0"/>
    <n v="0"/>
    <n v="8"/>
    <n v="0"/>
    <n v="2"/>
    <n v="0.25"/>
    <n v="2"/>
    <n v="0"/>
    <n v="0"/>
    <n v="0"/>
    <m/>
    <n v="0"/>
    <n v="0"/>
    <n v="0"/>
    <n v="0"/>
    <n v="0"/>
    <n v="0"/>
    <n v="0"/>
    <n v="0"/>
  </r>
  <r>
    <x v="56"/>
    <x v="1"/>
    <n v="115"/>
    <n v="0"/>
    <n v="115"/>
    <n v="0"/>
    <n v="0"/>
    <n v="0"/>
    <n v="0"/>
    <n v="7"/>
    <n v="0"/>
    <n v="5"/>
    <n v="0.71430000000000005"/>
    <n v="4"/>
    <n v="0"/>
    <n v="0"/>
    <n v="0"/>
    <m/>
    <n v="1"/>
    <n v="0"/>
    <n v="0"/>
    <n v="0"/>
    <n v="0"/>
    <n v="0"/>
    <n v="0"/>
    <n v="0"/>
  </r>
  <r>
    <x v="57"/>
    <x v="1"/>
    <n v="115"/>
    <n v="0"/>
    <n v="115"/>
    <n v="0"/>
    <n v="0"/>
    <n v="0"/>
    <n v="1"/>
    <n v="61"/>
    <n v="0"/>
    <n v="0"/>
    <n v="0"/>
    <n v="0"/>
    <n v="0"/>
    <n v="0"/>
    <n v="0"/>
    <m/>
    <n v="0"/>
    <n v="0"/>
    <n v="0"/>
    <n v="0"/>
    <n v="0"/>
    <n v="0"/>
    <n v="0"/>
    <n v="1"/>
  </r>
  <r>
    <x v="58"/>
    <x v="1"/>
    <n v="115"/>
    <n v="0"/>
    <n v="115"/>
    <n v="0"/>
    <n v="0"/>
    <n v="0"/>
    <n v="0"/>
    <n v="29"/>
    <n v="1"/>
    <n v="0"/>
    <n v="0"/>
    <n v="0"/>
    <n v="0"/>
    <n v="0"/>
    <n v="0"/>
    <m/>
    <n v="0"/>
    <n v="0"/>
    <n v="0"/>
    <n v="0"/>
    <n v="0"/>
    <n v="0"/>
    <n v="0"/>
    <n v="0"/>
  </r>
  <r>
    <x v="59"/>
    <x v="1"/>
    <n v="115"/>
    <n v="0"/>
    <n v="115"/>
    <n v="0"/>
    <n v="1"/>
    <n v="1"/>
    <n v="0"/>
    <n v="50"/>
    <n v="0"/>
    <n v="2"/>
    <n v="0.04"/>
    <n v="1"/>
    <n v="0"/>
    <n v="0"/>
    <n v="0"/>
    <m/>
    <n v="1"/>
    <n v="1"/>
    <n v="0"/>
    <n v="0"/>
    <n v="0"/>
    <n v="0"/>
    <n v="0"/>
    <n v="0"/>
  </r>
  <r>
    <x v="60"/>
    <x v="1"/>
    <n v="115"/>
    <n v="0"/>
    <n v="115"/>
    <n v="0"/>
    <n v="1"/>
    <n v="1"/>
    <n v="0"/>
    <n v="168"/>
    <n v="0"/>
    <n v="17"/>
    <n v="0.1012"/>
    <n v="6"/>
    <n v="0"/>
    <n v="1"/>
    <n v="0"/>
    <m/>
    <n v="10"/>
    <n v="1"/>
    <n v="0"/>
    <n v="0"/>
    <n v="0"/>
    <n v="0"/>
    <n v="0"/>
    <n v="0"/>
  </r>
  <r>
    <x v="61"/>
    <x v="2"/>
    <n v="115"/>
    <n v="0"/>
    <n v="115"/>
    <n v="0"/>
    <n v="0"/>
    <n v="0"/>
    <n v="0"/>
    <n v="31"/>
    <n v="0"/>
    <n v="5"/>
    <n v="0.1613"/>
    <n v="1"/>
    <n v="1"/>
    <n v="0"/>
    <n v="0"/>
    <m/>
    <n v="3"/>
    <n v="0"/>
    <n v="0"/>
    <n v="0"/>
    <n v="0"/>
    <n v="0"/>
    <n v="0"/>
    <n v="0"/>
  </r>
  <r>
    <x v="62"/>
    <x v="2"/>
    <n v="115"/>
    <n v="0"/>
    <n v="115"/>
    <n v="0"/>
    <n v="0"/>
    <n v="0"/>
    <n v="0"/>
    <n v="22"/>
    <n v="0"/>
    <n v="0"/>
    <n v="0"/>
    <n v="0"/>
    <n v="0"/>
    <n v="0"/>
    <n v="0"/>
    <m/>
    <n v="0"/>
    <n v="0"/>
    <n v="0"/>
    <n v="0"/>
    <n v="0"/>
    <n v="0"/>
    <n v="0"/>
    <n v="0"/>
  </r>
  <r>
    <x v="63"/>
    <x v="2"/>
    <n v="115"/>
    <n v="0"/>
    <n v="115"/>
    <n v="0"/>
    <n v="0"/>
    <n v="0"/>
    <n v="1"/>
    <n v="19"/>
    <n v="0"/>
    <n v="2"/>
    <n v="0.1053"/>
    <n v="0"/>
    <n v="0"/>
    <n v="0"/>
    <n v="0"/>
    <m/>
    <n v="2"/>
    <n v="0"/>
    <n v="0"/>
    <n v="0"/>
    <n v="0"/>
    <n v="0"/>
    <n v="1"/>
    <n v="0"/>
  </r>
  <r>
    <x v="64"/>
    <x v="2"/>
    <n v="115"/>
    <n v="0"/>
    <n v="115"/>
    <n v="0"/>
    <n v="0"/>
    <n v="0"/>
    <n v="0"/>
    <n v="17"/>
    <n v="0"/>
    <n v="0"/>
    <n v="0"/>
    <n v="0"/>
    <n v="0"/>
    <n v="0"/>
    <n v="0"/>
    <m/>
    <n v="0"/>
    <n v="0"/>
    <n v="0"/>
    <n v="0"/>
    <n v="0"/>
    <n v="0"/>
    <n v="0"/>
    <n v="0"/>
  </r>
  <r>
    <x v="65"/>
    <x v="2"/>
    <n v="115"/>
    <n v="0"/>
    <n v="115"/>
    <n v="0"/>
    <n v="0"/>
    <n v="0"/>
    <n v="0"/>
    <n v="46"/>
    <n v="0"/>
    <n v="2"/>
    <n v="4.3499999999999997E-2"/>
    <n v="1"/>
    <n v="0"/>
    <n v="0"/>
    <n v="0"/>
    <m/>
    <n v="1"/>
    <n v="0"/>
    <n v="0"/>
    <n v="0"/>
    <n v="0"/>
    <n v="0"/>
    <n v="0"/>
    <n v="0"/>
  </r>
  <r>
    <x v="66"/>
    <x v="2"/>
    <n v="115"/>
    <n v="0"/>
    <n v="115"/>
    <n v="0"/>
    <n v="1"/>
    <n v="1"/>
    <n v="0"/>
    <n v="19"/>
    <n v="0"/>
    <n v="1"/>
    <n v="5.2600000000000001E-2"/>
    <n v="0"/>
    <n v="0"/>
    <n v="0"/>
    <n v="0"/>
    <m/>
    <n v="1"/>
    <n v="1"/>
    <n v="0"/>
    <n v="0"/>
    <n v="0"/>
    <n v="0"/>
    <n v="0"/>
    <n v="0"/>
  </r>
  <r>
    <x v="67"/>
    <x v="2"/>
    <n v="116"/>
    <n v="1"/>
    <n v="117"/>
    <n v="0.86206896551724133"/>
    <n v="0"/>
    <n v="0"/>
    <n v="0"/>
    <n v="38"/>
    <n v="0"/>
    <n v="1"/>
    <n v="2.63E-2"/>
    <n v="1"/>
    <n v="0"/>
    <n v="0"/>
    <n v="0"/>
    <m/>
    <n v="0"/>
    <n v="0"/>
    <n v="0"/>
    <n v="0"/>
    <n v="0"/>
    <n v="0"/>
    <n v="0"/>
    <n v="0"/>
  </r>
  <r>
    <x v="68"/>
    <x v="2"/>
    <n v="116"/>
    <n v="0"/>
    <n v="116"/>
    <n v="0"/>
    <n v="0"/>
    <n v="0"/>
    <n v="0"/>
    <n v="6"/>
    <n v="0"/>
    <n v="1"/>
    <n v="0.16669999999999999"/>
    <n v="1"/>
    <n v="0"/>
    <n v="0"/>
    <n v="0"/>
    <m/>
    <n v="0"/>
    <n v="0"/>
    <n v="0"/>
    <n v="0"/>
    <n v="0"/>
    <n v="0"/>
    <n v="0"/>
    <n v="0"/>
  </r>
  <r>
    <x v="69"/>
    <x v="2"/>
    <n v="116"/>
    <n v="0"/>
    <n v="116"/>
    <n v="0"/>
    <n v="0"/>
    <n v="0"/>
    <n v="0"/>
    <n v="3"/>
    <n v="0"/>
    <n v="0"/>
    <n v="0"/>
    <n v="0"/>
    <n v="0"/>
    <n v="0"/>
    <n v="0"/>
    <m/>
    <n v="0"/>
    <n v="0"/>
    <n v="0"/>
    <n v="0"/>
    <n v="0"/>
    <n v="0"/>
    <n v="0"/>
    <n v="0"/>
  </r>
  <r>
    <x v="70"/>
    <x v="2"/>
    <n v="117"/>
    <n v="1"/>
    <n v="118"/>
    <n v="0.85470085470085477"/>
    <n v="0"/>
    <n v="0"/>
    <n v="0"/>
    <n v="1"/>
    <n v="0"/>
    <n v="0"/>
    <n v="0"/>
    <n v="0"/>
    <n v="0"/>
    <n v="0"/>
    <n v="0"/>
    <m/>
    <n v="0"/>
    <n v="0"/>
    <n v="0"/>
    <n v="0"/>
    <n v="0"/>
    <n v="0"/>
    <n v="0"/>
    <n v="0"/>
  </r>
  <r>
    <x v="71"/>
    <x v="2"/>
    <n v="117"/>
    <n v="0"/>
    <n v="117"/>
    <n v="0"/>
    <n v="0"/>
    <n v="0"/>
    <n v="1"/>
    <n v="21"/>
    <n v="1"/>
    <n v="2"/>
    <n v="9.5200000000000007E-2"/>
    <n v="2"/>
    <n v="0"/>
    <n v="0"/>
    <n v="0"/>
    <m/>
    <n v="0"/>
    <n v="0"/>
    <n v="0"/>
    <n v="0"/>
    <n v="0"/>
    <n v="0"/>
    <n v="1"/>
    <n v="0"/>
  </r>
  <r>
    <x v="72"/>
    <x v="2"/>
    <n v="119"/>
    <n v="2"/>
    <n v="121"/>
    <n v="1.680672268907563"/>
    <n v="0"/>
    <n v="0"/>
    <n v="0"/>
    <n v="43"/>
    <n v="0"/>
    <n v="0"/>
    <n v="0"/>
    <n v="0"/>
    <n v="0"/>
    <n v="0"/>
    <n v="0"/>
    <m/>
    <n v="0"/>
    <n v="0"/>
    <n v="0"/>
    <n v="0"/>
    <n v="0"/>
    <n v="0"/>
    <n v="0"/>
    <n v="0"/>
  </r>
  <r>
    <x v="73"/>
    <x v="2"/>
    <n v="119"/>
    <n v="0"/>
    <n v="119"/>
    <n v="0"/>
    <n v="0"/>
    <n v="0"/>
    <n v="0"/>
    <n v="13"/>
    <n v="0"/>
    <n v="0"/>
    <n v="0"/>
    <n v="0"/>
    <n v="0"/>
    <n v="0"/>
    <n v="0"/>
    <m/>
    <n v="0"/>
    <n v="0"/>
    <n v="0"/>
    <n v="0"/>
    <n v="0"/>
    <n v="0"/>
    <n v="0"/>
    <n v="0"/>
  </r>
  <r>
    <x v="74"/>
    <x v="2"/>
    <n v="119"/>
    <n v="0"/>
    <n v="119"/>
    <n v="0"/>
    <n v="1"/>
    <n v="1"/>
    <n v="0"/>
    <n v="12"/>
    <n v="0"/>
    <n v="0"/>
    <n v="0"/>
    <n v="0"/>
    <n v="0"/>
    <n v="0"/>
    <n v="0"/>
    <m/>
    <n v="0"/>
    <n v="1"/>
    <n v="0"/>
    <n v="0"/>
    <n v="0"/>
    <n v="0"/>
    <n v="0"/>
    <n v="0"/>
  </r>
  <r>
    <x v="75"/>
    <x v="2"/>
    <n v="119"/>
    <n v="0"/>
    <n v="119"/>
    <n v="0"/>
    <n v="0"/>
    <n v="0"/>
    <n v="1"/>
    <n v="7"/>
    <n v="0"/>
    <n v="1"/>
    <n v="0.1429"/>
    <n v="1"/>
    <n v="0"/>
    <n v="0"/>
    <n v="0"/>
    <m/>
    <n v="0"/>
    <n v="0"/>
    <n v="0"/>
    <n v="0"/>
    <n v="0"/>
    <n v="0"/>
    <n v="1"/>
    <n v="0"/>
  </r>
  <r>
    <x v="76"/>
    <x v="2"/>
    <n v="119"/>
    <n v="0"/>
    <n v="119"/>
    <n v="0"/>
    <n v="0"/>
    <n v="0"/>
    <n v="0"/>
    <n v="10"/>
    <n v="0"/>
    <n v="0"/>
    <n v="0"/>
    <n v="0"/>
    <n v="0"/>
    <n v="0"/>
    <n v="0"/>
    <m/>
    <n v="0"/>
    <n v="0"/>
    <n v="0"/>
    <n v="0"/>
    <n v="0"/>
    <n v="0"/>
    <n v="0"/>
    <n v="0"/>
  </r>
  <r>
    <x v="77"/>
    <x v="2"/>
    <n v="119"/>
    <n v="0"/>
    <n v="119"/>
    <n v="0"/>
    <n v="0"/>
    <n v="0"/>
    <n v="0"/>
    <n v="13"/>
    <n v="0"/>
    <n v="0"/>
    <n v="0"/>
    <n v="0"/>
    <n v="0"/>
    <n v="0"/>
    <n v="0"/>
    <m/>
    <n v="0"/>
    <n v="0"/>
    <n v="0"/>
    <n v="0"/>
    <n v="0"/>
    <n v="0"/>
    <n v="0"/>
    <n v="0"/>
  </r>
  <r>
    <x v="78"/>
    <x v="2"/>
    <n v="119"/>
    <n v="0"/>
    <n v="119"/>
    <n v="0"/>
    <n v="0"/>
    <n v="0"/>
    <n v="0"/>
    <n v="2"/>
    <n v="0"/>
    <n v="0"/>
    <n v="0"/>
    <n v="0"/>
    <n v="0"/>
    <n v="0"/>
    <n v="0"/>
    <m/>
    <n v="0"/>
    <n v="0"/>
    <n v="0"/>
    <n v="0"/>
    <n v="0"/>
    <n v="0"/>
    <n v="0"/>
    <n v="0"/>
  </r>
  <r>
    <x v="79"/>
    <x v="2"/>
    <n v="119"/>
    <n v="0"/>
    <n v="119"/>
    <n v="0"/>
    <n v="0"/>
    <n v="0"/>
    <n v="0"/>
    <n v="9"/>
    <n v="0"/>
    <n v="0"/>
    <n v="0"/>
    <n v="0"/>
    <n v="0"/>
    <n v="0"/>
    <n v="0"/>
    <m/>
    <n v="0"/>
    <n v="0"/>
    <n v="0"/>
    <n v="0"/>
    <n v="0"/>
    <n v="0"/>
    <n v="0"/>
    <n v="0"/>
  </r>
  <r>
    <x v="80"/>
    <x v="2"/>
    <n v="119"/>
    <n v="0"/>
    <n v="119"/>
    <n v="0"/>
    <n v="0"/>
    <n v="0"/>
    <n v="0"/>
    <n v="17"/>
    <n v="0"/>
    <n v="0"/>
    <n v="0"/>
    <n v="0"/>
    <n v="0"/>
    <n v="0"/>
    <n v="0"/>
    <m/>
    <n v="0"/>
    <n v="0"/>
    <n v="0"/>
    <n v="0"/>
    <n v="0"/>
    <n v="0"/>
    <n v="0"/>
    <n v="0"/>
  </r>
  <r>
    <x v="81"/>
    <x v="2"/>
    <n v="119"/>
    <n v="0"/>
    <n v="119"/>
    <n v="0"/>
    <n v="0"/>
    <n v="0"/>
    <n v="0"/>
    <n v="40"/>
    <n v="0"/>
    <n v="0"/>
    <n v="0"/>
    <n v="0"/>
    <n v="0"/>
    <n v="0"/>
    <n v="0"/>
    <m/>
    <n v="0"/>
    <n v="0"/>
    <n v="0"/>
    <n v="0"/>
    <n v="0"/>
    <n v="0"/>
    <n v="0"/>
    <n v="0"/>
  </r>
  <r>
    <x v="82"/>
    <x v="2"/>
    <n v="119"/>
    <n v="0"/>
    <n v="119"/>
    <n v="0"/>
    <n v="0"/>
    <n v="0"/>
    <n v="0"/>
    <n v="1"/>
    <n v="0"/>
    <n v="0"/>
    <n v="0"/>
    <n v="0"/>
    <n v="0"/>
    <n v="0"/>
    <n v="0"/>
    <m/>
    <n v="0"/>
    <n v="0"/>
    <n v="0"/>
    <n v="0"/>
    <n v="0"/>
    <n v="0"/>
    <n v="0"/>
    <n v="0"/>
  </r>
  <r>
    <x v="83"/>
    <x v="2"/>
    <n v="119"/>
    <n v="0"/>
    <n v="119"/>
    <n v="0"/>
    <n v="0"/>
    <n v="0"/>
    <n v="0"/>
    <n v="15"/>
    <n v="0"/>
    <n v="0"/>
    <n v="0"/>
    <n v="0"/>
    <n v="0"/>
    <n v="0"/>
    <n v="0"/>
    <m/>
    <n v="0"/>
    <n v="0"/>
    <n v="0"/>
    <n v="0"/>
    <n v="0"/>
    <n v="0"/>
    <n v="0"/>
    <n v="0"/>
  </r>
  <r>
    <x v="84"/>
    <x v="2"/>
    <n v="119"/>
    <n v="0"/>
    <n v="119"/>
    <n v="0"/>
    <n v="0"/>
    <n v="0"/>
    <n v="0"/>
    <n v="0"/>
    <n v="0"/>
    <n v="0"/>
    <n v="0"/>
    <n v="0"/>
    <n v="0"/>
    <n v="0"/>
    <n v="0"/>
    <m/>
    <n v="0"/>
    <n v="0"/>
    <n v="0"/>
    <n v="0"/>
    <n v="0"/>
    <n v="0"/>
    <n v="0"/>
    <n v="0"/>
  </r>
  <r>
    <x v="85"/>
    <x v="2"/>
    <n v="119"/>
    <n v="0"/>
    <n v="119"/>
    <n v="0"/>
    <n v="0"/>
    <n v="0"/>
    <n v="0"/>
    <n v="19"/>
    <n v="0"/>
    <n v="0"/>
    <n v="0"/>
    <n v="0"/>
    <n v="0"/>
    <n v="0"/>
    <n v="0"/>
    <m/>
    <n v="0"/>
    <n v="0"/>
    <n v="0"/>
    <n v="0"/>
    <n v="0"/>
    <n v="0"/>
    <n v="0"/>
    <n v="0"/>
  </r>
  <r>
    <x v="86"/>
    <x v="2"/>
    <n v="119"/>
    <n v="0"/>
    <n v="119"/>
    <n v="0"/>
    <n v="0"/>
    <n v="0"/>
    <n v="0"/>
    <n v="11"/>
    <n v="0"/>
    <n v="0"/>
    <n v="0"/>
    <n v="0"/>
    <n v="0"/>
    <n v="0"/>
    <n v="0"/>
    <m/>
    <n v="0"/>
    <n v="0"/>
    <n v="0"/>
    <n v="0"/>
    <n v="0"/>
    <n v="0"/>
    <n v="0"/>
    <n v="0"/>
  </r>
  <r>
    <x v="87"/>
    <x v="2"/>
    <n v="119"/>
    <n v="0"/>
    <n v="119"/>
    <n v="0"/>
    <n v="0"/>
    <n v="0"/>
    <n v="0"/>
    <n v="16"/>
    <n v="0"/>
    <n v="0"/>
    <n v="0"/>
    <n v="0"/>
    <n v="0"/>
    <n v="0"/>
    <n v="0"/>
    <m/>
    <n v="0"/>
    <n v="0"/>
    <n v="0"/>
    <n v="0"/>
    <n v="0"/>
    <n v="0"/>
    <n v="0"/>
    <n v="0"/>
  </r>
  <r>
    <x v="88"/>
    <x v="2"/>
    <n v="119"/>
    <n v="0"/>
    <n v="119"/>
    <n v="0"/>
    <n v="0"/>
    <n v="0"/>
    <n v="0"/>
    <n v="20"/>
    <n v="0"/>
    <n v="0"/>
    <n v="0"/>
    <n v="0"/>
    <n v="0"/>
    <n v="0"/>
    <n v="0"/>
    <m/>
    <n v="0"/>
    <n v="0"/>
    <n v="0"/>
    <n v="0"/>
    <n v="0"/>
    <n v="0"/>
    <n v="0"/>
    <n v="0"/>
  </r>
  <r>
    <x v="89"/>
    <x v="2"/>
    <n v="119"/>
    <n v="0"/>
    <n v="119"/>
    <n v="0"/>
    <n v="0"/>
    <n v="0"/>
    <n v="0"/>
    <n v="2"/>
    <n v="0"/>
    <n v="0"/>
    <n v="0"/>
    <n v="0"/>
    <n v="0"/>
    <n v="0"/>
    <n v="0"/>
    <m/>
    <n v="0"/>
    <n v="0"/>
    <n v="0"/>
    <n v="0"/>
    <n v="0"/>
    <n v="0"/>
    <n v="0"/>
    <n v="0"/>
  </r>
  <r>
    <x v="90"/>
    <x v="2"/>
    <n v="119"/>
    <n v="0"/>
    <n v="119"/>
    <n v="0"/>
    <n v="0"/>
    <n v="0"/>
    <n v="0"/>
    <n v="6"/>
    <n v="1"/>
    <n v="0"/>
    <n v="0"/>
    <n v="0"/>
    <n v="0"/>
    <n v="0"/>
    <n v="0"/>
    <m/>
    <n v="0"/>
    <n v="0"/>
    <n v="0"/>
    <n v="0"/>
    <n v="0"/>
    <n v="0"/>
    <n v="0"/>
    <n v="0"/>
  </r>
  <r>
    <x v="91"/>
    <x v="2"/>
    <n v="119"/>
    <n v="0"/>
    <n v="119"/>
    <n v="0"/>
    <n v="0"/>
    <n v="0"/>
    <n v="0"/>
    <n v="0"/>
    <n v="0"/>
    <n v="0"/>
    <n v="0"/>
    <n v="0"/>
    <n v="0"/>
    <n v="0"/>
    <n v="0"/>
    <m/>
    <n v="0"/>
    <n v="0"/>
    <n v="0"/>
    <n v="0"/>
    <n v="0"/>
    <n v="0"/>
    <n v="0"/>
    <n v="0"/>
  </r>
  <r>
    <x v="92"/>
    <x v="3"/>
    <n v="120"/>
    <n v="1"/>
    <n v="121"/>
    <n v="0.83333333333333337"/>
    <n v="0"/>
    <n v="0"/>
    <n v="0"/>
    <n v="7"/>
    <n v="0"/>
    <n v="0"/>
    <n v="0"/>
    <n v="0"/>
    <n v="0"/>
    <n v="0"/>
    <n v="0"/>
    <m/>
    <n v="0"/>
    <n v="0"/>
    <n v="0"/>
    <n v="0"/>
    <n v="0"/>
    <n v="0"/>
    <n v="0"/>
    <n v="0"/>
  </r>
  <r>
    <x v="93"/>
    <x v="3"/>
    <n v="120"/>
    <n v="0"/>
    <n v="120"/>
    <n v="0"/>
    <n v="0"/>
    <n v="0"/>
    <n v="0"/>
    <n v="7"/>
    <n v="1"/>
    <n v="0"/>
    <n v="0"/>
    <n v="0"/>
    <n v="0"/>
    <n v="0"/>
    <n v="0"/>
    <m/>
    <n v="0"/>
    <n v="0"/>
    <n v="0"/>
    <n v="0"/>
    <n v="0"/>
    <n v="0"/>
    <n v="0"/>
    <n v="0"/>
  </r>
  <r>
    <x v="94"/>
    <x v="3"/>
    <n v="120"/>
    <n v="0"/>
    <n v="120"/>
    <n v="0"/>
    <n v="0"/>
    <n v="0"/>
    <n v="0"/>
    <n v="29"/>
    <n v="0"/>
    <n v="0"/>
    <n v="0"/>
    <n v="0"/>
    <n v="0"/>
    <n v="0"/>
    <n v="0"/>
    <m/>
    <n v="0"/>
    <n v="0"/>
    <n v="0"/>
    <n v="0"/>
    <n v="0"/>
    <n v="0"/>
    <n v="0"/>
    <n v="0"/>
  </r>
  <r>
    <x v="95"/>
    <x v="3"/>
    <n v="120"/>
    <n v="0"/>
    <n v="120"/>
    <n v="0"/>
    <n v="0"/>
    <n v="0"/>
    <n v="0"/>
    <n v="27"/>
    <n v="1"/>
    <n v="0"/>
    <n v="0"/>
    <n v="0"/>
    <n v="0"/>
    <n v="0"/>
    <n v="0"/>
    <m/>
    <n v="0"/>
    <n v="0"/>
    <n v="0"/>
    <n v="0"/>
    <n v="0"/>
    <n v="0"/>
    <n v="0"/>
    <n v="0"/>
  </r>
  <r>
    <x v="96"/>
    <x v="3"/>
    <n v="120"/>
    <n v="0"/>
    <n v="120"/>
    <n v="0"/>
    <n v="0"/>
    <n v="0"/>
    <n v="0"/>
    <n v="4"/>
    <n v="0"/>
    <n v="0"/>
    <n v="0"/>
    <n v="0"/>
    <n v="0"/>
    <n v="0"/>
    <n v="0"/>
    <m/>
    <n v="0"/>
    <n v="0"/>
    <n v="0"/>
    <n v="0"/>
    <n v="0"/>
    <n v="0"/>
    <n v="0"/>
    <n v="0"/>
  </r>
  <r>
    <x v="97"/>
    <x v="3"/>
    <n v="120"/>
    <n v="0"/>
    <n v="120"/>
    <n v="0"/>
    <n v="0"/>
    <n v="0"/>
    <n v="0"/>
    <n v="5"/>
    <n v="0"/>
    <n v="0"/>
    <n v="0"/>
    <n v="0"/>
    <n v="0"/>
    <n v="0"/>
    <n v="0"/>
    <m/>
    <n v="0"/>
    <n v="0"/>
    <n v="0"/>
    <n v="0"/>
    <n v="0"/>
    <n v="0"/>
    <n v="0"/>
    <n v="0"/>
  </r>
  <r>
    <x v="98"/>
    <x v="3"/>
    <n v="120"/>
    <n v="0"/>
    <n v="120"/>
    <n v="0"/>
    <n v="0"/>
    <n v="0"/>
    <n v="0"/>
    <n v="2"/>
    <n v="0"/>
    <n v="1"/>
    <n v="0.5"/>
    <n v="0"/>
    <n v="0"/>
    <n v="0"/>
    <n v="0"/>
    <m/>
    <n v="1"/>
    <n v="0"/>
    <n v="0"/>
    <n v="0"/>
    <n v="0"/>
    <n v="0"/>
    <n v="0"/>
    <n v="0"/>
  </r>
  <r>
    <x v="99"/>
    <x v="3"/>
    <n v="120"/>
    <n v="0"/>
    <n v="120"/>
    <n v="0"/>
    <n v="0"/>
    <n v="0"/>
    <n v="0"/>
    <n v="12"/>
    <n v="0"/>
    <n v="0"/>
    <n v="0"/>
    <n v="0"/>
    <n v="0"/>
    <n v="0"/>
    <n v="0"/>
    <m/>
    <n v="0"/>
    <n v="0"/>
    <n v="0"/>
    <n v="0"/>
    <n v="0"/>
    <n v="0"/>
    <n v="0"/>
    <n v="0"/>
  </r>
  <r>
    <x v="100"/>
    <x v="3"/>
    <n v="120"/>
    <n v="0"/>
    <n v="120"/>
    <n v="0"/>
    <n v="1"/>
    <n v="1"/>
    <n v="0"/>
    <n v="148"/>
    <n v="0"/>
    <n v="16"/>
    <n v="0.1081"/>
    <n v="9"/>
    <n v="0"/>
    <n v="1"/>
    <n v="0"/>
    <m/>
    <n v="6"/>
    <n v="1"/>
    <n v="0"/>
    <n v="0"/>
    <n v="0"/>
    <n v="0"/>
    <n v="0"/>
    <n v="0"/>
  </r>
  <r>
    <x v="101"/>
    <x v="3"/>
    <n v="120"/>
    <n v="0"/>
    <n v="120"/>
    <n v="0"/>
    <n v="0"/>
    <n v="0"/>
    <n v="0"/>
    <n v="25"/>
    <n v="0"/>
    <n v="5"/>
    <n v="0.2"/>
    <n v="4"/>
    <n v="0"/>
    <n v="0"/>
    <n v="0"/>
    <m/>
    <n v="1"/>
    <n v="0"/>
    <n v="0"/>
    <n v="0"/>
    <n v="0"/>
    <n v="0"/>
    <n v="0"/>
    <n v="0"/>
  </r>
  <r>
    <x v="102"/>
    <x v="3"/>
    <n v="120"/>
    <n v="0"/>
    <n v="120"/>
    <n v="0"/>
    <n v="0"/>
    <n v="0"/>
    <n v="0"/>
    <n v="14"/>
    <n v="0"/>
    <n v="1"/>
    <n v="7.1400000000000005E-2"/>
    <n v="1"/>
    <n v="0"/>
    <n v="0"/>
    <n v="0"/>
    <m/>
    <n v="0"/>
    <n v="0"/>
    <n v="0"/>
    <n v="0"/>
    <n v="0"/>
    <n v="0"/>
    <n v="0"/>
    <n v="0"/>
  </r>
  <r>
    <x v="103"/>
    <x v="3"/>
    <n v="120"/>
    <n v="0"/>
    <n v="120"/>
    <n v="0"/>
    <n v="0"/>
    <n v="0"/>
    <n v="0"/>
    <n v="8"/>
    <n v="1"/>
    <n v="0"/>
    <n v="0"/>
    <n v="0"/>
    <n v="0"/>
    <n v="0"/>
    <n v="0"/>
    <m/>
    <n v="0"/>
    <n v="0"/>
    <n v="0"/>
    <n v="0"/>
    <n v="0"/>
    <n v="0"/>
    <n v="0"/>
    <n v="0"/>
  </r>
  <r>
    <x v="104"/>
    <x v="3"/>
    <n v="120"/>
    <n v="0"/>
    <n v="120"/>
    <n v="0"/>
    <n v="0"/>
    <n v="0"/>
    <n v="0"/>
    <n v="4"/>
    <n v="0"/>
    <n v="0"/>
    <n v="0"/>
    <n v="0"/>
    <n v="0"/>
    <n v="0"/>
    <n v="0"/>
    <m/>
    <n v="0"/>
    <n v="0"/>
    <n v="0"/>
    <n v="0"/>
    <n v="0"/>
    <n v="0"/>
    <n v="0"/>
    <n v="0"/>
  </r>
  <r>
    <x v="105"/>
    <x v="3"/>
    <n v="120"/>
    <n v="0"/>
    <n v="120"/>
    <n v="0"/>
    <n v="0"/>
    <n v="0"/>
    <n v="0"/>
    <n v="4"/>
    <n v="0"/>
    <n v="0"/>
    <n v="0"/>
    <n v="0"/>
    <n v="0"/>
    <n v="0"/>
    <n v="0"/>
    <m/>
    <n v="0"/>
    <n v="0"/>
    <n v="0"/>
    <n v="0"/>
    <n v="0"/>
    <n v="0"/>
    <n v="0"/>
    <n v="0"/>
  </r>
  <r>
    <x v="106"/>
    <x v="3"/>
    <n v="121"/>
    <n v="1"/>
    <n v="122"/>
    <n v="0.82644628099173556"/>
    <n v="0"/>
    <n v="0"/>
    <n v="0"/>
    <n v="34"/>
    <n v="0"/>
    <n v="0"/>
    <n v="0"/>
    <n v="0"/>
    <n v="0"/>
    <n v="0"/>
    <n v="0"/>
    <m/>
    <n v="0"/>
    <n v="0"/>
    <n v="0"/>
    <n v="0"/>
    <n v="0"/>
    <n v="0"/>
    <n v="0"/>
    <n v="0"/>
  </r>
  <r>
    <x v="107"/>
    <x v="3"/>
    <n v="121"/>
    <n v="0"/>
    <n v="121"/>
    <n v="0"/>
    <n v="0"/>
    <n v="0"/>
    <n v="0"/>
    <n v="3"/>
    <n v="0"/>
    <n v="0"/>
    <n v="0"/>
    <n v="0"/>
    <n v="0"/>
    <n v="0"/>
    <n v="0"/>
    <m/>
    <n v="0"/>
    <n v="0"/>
    <n v="0"/>
    <n v="0"/>
    <n v="0"/>
    <n v="0"/>
    <n v="0"/>
    <n v="0"/>
  </r>
  <r>
    <x v="108"/>
    <x v="3"/>
    <n v="121"/>
    <n v="0"/>
    <n v="121"/>
    <n v="0"/>
    <n v="0"/>
    <n v="0"/>
    <n v="0"/>
    <n v="3"/>
    <n v="0"/>
    <n v="0"/>
    <n v="0"/>
    <n v="0"/>
    <n v="0"/>
    <n v="0"/>
    <n v="0"/>
    <m/>
    <n v="0"/>
    <n v="0"/>
    <n v="0"/>
    <n v="0"/>
    <n v="0"/>
    <n v="0"/>
    <n v="0"/>
    <n v="0"/>
  </r>
  <r>
    <x v="109"/>
    <x v="3"/>
    <n v="121"/>
    <n v="0"/>
    <n v="121"/>
    <n v="0"/>
    <n v="0"/>
    <n v="0"/>
    <n v="0"/>
    <n v="0"/>
    <n v="0"/>
    <n v="0"/>
    <n v="0"/>
    <n v="0"/>
    <n v="0"/>
    <n v="0"/>
    <n v="0"/>
    <m/>
    <n v="0"/>
    <n v="0"/>
    <n v="0"/>
    <n v="0"/>
    <n v="0"/>
    <n v="0"/>
    <n v="0"/>
    <n v="0"/>
  </r>
  <r>
    <x v="110"/>
    <x v="3"/>
    <n v="121"/>
    <n v="0"/>
    <n v="121"/>
    <n v="0"/>
    <n v="0"/>
    <n v="0"/>
    <n v="0"/>
    <n v="1"/>
    <n v="0"/>
    <n v="0"/>
    <n v="0"/>
    <n v="0"/>
    <n v="0"/>
    <n v="0"/>
    <n v="0"/>
    <m/>
    <n v="0"/>
    <n v="0"/>
    <n v="0"/>
    <n v="0"/>
    <n v="0"/>
    <n v="0"/>
    <n v="0"/>
    <n v="0"/>
  </r>
  <r>
    <x v="111"/>
    <x v="3"/>
    <n v="121"/>
    <n v="0"/>
    <n v="121"/>
    <n v="0"/>
    <n v="0"/>
    <n v="0"/>
    <n v="0"/>
    <n v="0"/>
    <n v="0"/>
    <n v="0"/>
    <n v="0"/>
    <n v="0"/>
    <n v="0"/>
    <n v="0"/>
    <n v="0"/>
    <m/>
    <n v="0"/>
    <n v="0"/>
    <n v="0"/>
    <n v="0"/>
    <n v="0"/>
    <n v="0"/>
    <n v="0"/>
    <n v="0"/>
  </r>
  <r>
    <x v="112"/>
    <x v="3"/>
    <n v="121"/>
    <n v="0"/>
    <n v="121"/>
    <n v="0"/>
    <n v="0"/>
    <n v="0"/>
    <n v="0"/>
    <n v="0"/>
    <n v="0"/>
    <n v="0"/>
    <n v="0"/>
    <n v="0"/>
    <n v="0"/>
    <n v="0"/>
    <n v="0"/>
    <m/>
    <n v="0"/>
    <n v="0"/>
    <n v="0"/>
    <n v="0"/>
    <n v="0"/>
    <n v="0"/>
    <n v="0"/>
    <n v="0"/>
  </r>
  <r>
    <x v="113"/>
    <x v="3"/>
    <n v="121"/>
    <n v="0"/>
    <n v="121"/>
    <n v="0"/>
    <n v="0"/>
    <n v="0"/>
    <n v="0"/>
    <n v="10"/>
    <n v="0"/>
    <n v="0"/>
    <n v="0"/>
    <n v="0"/>
    <n v="0"/>
    <n v="0"/>
    <n v="0"/>
    <m/>
    <n v="0"/>
    <n v="0"/>
    <n v="0"/>
    <n v="0"/>
    <n v="0"/>
    <n v="0"/>
    <n v="0"/>
    <n v="0"/>
  </r>
  <r>
    <x v="114"/>
    <x v="3"/>
    <n v="121"/>
    <n v="0"/>
    <n v="121"/>
    <n v="0"/>
    <n v="0"/>
    <n v="0"/>
    <n v="0"/>
    <n v="14"/>
    <n v="1"/>
    <n v="0"/>
    <n v="0"/>
    <n v="0"/>
    <n v="0"/>
    <n v="0"/>
    <n v="0"/>
    <m/>
    <n v="0"/>
    <n v="0"/>
    <n v="0"/>
    <n v="0"/>
    <n v="0"/>
    <n v="0"/>
    <n v="0"/>
    <n v="0"/>
  </r>
  <r>
    <x v="115"/>
    <x v="3"/>
    <n v="121"/>
    <n v="0"/>
    <n v="121"/>
    <n v="0"/>
    <n v="0"/>
    <n v="0"/>
    <n v="0"/>
    <n v="19"/>
    <n v="0"/>
    <n v="0"/>
    <n v="0"/>
    <n v="0"/>
    <n v="0"/>
    <n v="0"/>
    <n v="0"/>
    <m/>
    <n v="0"/>
    <n v="0"/>
    <n v="0"/>
    <n v="0"/>
    <n v="0"/>
    <n v="0"/>
    <n v="0"/>
    <n v="0"/>
  </r>
  <r>
    <x v="116"/>
    <x v="3"/>
    <n v="121"/>
    <n v="0"/>
    <n v="121"/>
    <n v="0"/>
    <n v="0"/>
    <n v="0"/>
    <n v="0"/>
    <n v="6"/>
    <n v="0"/>
    <n v="0"/>
    <n v="0"/>
    <n v="0"/>
    <n v="0"/>
    <n v="0"/>
    <n v="0"/>
    <m/>
    <n v="0"/>
    <n v="0"/>
    <n v="0"/>
    <n v="0"/>
    <n v="0"/>
    <n v="0"/>
    <n v="0"/>
    <n v="0"/>
  </r>
  <r>
    <x v="117"/>
    <x v="3"/>
    <n v="121"/>
    <n v="0"/>
    <n v="121"/>
    <n v="0"/>
    <n v="1"/>
    <n v="1"/>
    <n v="0"/>
    <n v="83"/>
    <n v="0"/>
    <n v="6"/>
    <n v="7.2300000000000003E-2"/>
    <n v="1"/>
    <n v="0"/>
    <n v="0"/>
    <n v="0"/>
    <m/>
    <n v="5"/>
    <n v="1"/>
    <n v="0"/>
    <n v="0"/>
    <n v="0"/>
    <n v="0"/>
    <n v="0"/>
    <n v="0"/>
  </r>
  <r>
    <x v="118"/>
    <x v="3"/>
    <n v="121"/>
    <n v="0"/>
    <n v="121"/>
    <n v="0"/>
    <n v="0"/>
    <n v="0"/>
    <n v="0"/>
    <n v="2"/>
    <n v="0"/>
    <n v="2"/>
    <n v="1"/>
    <n v="1"/>
    <n v="0"/>
    <n v="1"/>
    <n v="0"/>
    <m/>
    <n v="0"/>
    <n v="0"/>
    <n v="0"/>
    <n v="0"/>
    <n v="0"/>
    <n v="0"/>
    <n v="0"/>
    <n v="0"/>
  </r>
  <r>
    <x v="119"/>
    <x v="3"/>
    <n v="121"/>
    <n v="0"/>
    <n v="121"/>
    <n v="0"/>
    <n v="0"/>
    <n v="0"/>
    <n v="0"/>
    <n v="2"/>
    <n v="0"/>
    <n v="0"/>
    <n v="0"/>
    <n v="0"/>
    <n v="0"/>
    <n v="0"/>
    <n v="0"/>
    <m/>
    <n v="0"/>
    <n v="0"/>
    <n v="0"/>
    <n v="0"/>
    <n v="0"/>
    <n v="0"/>
    <n v="0"/>
    <n v="0"/>
  </r>
  <r>
    <x v="120"/>
    <x v="3"/>
    <n v="121"/>
    <n v="0"/>
    <n v="121"/>
    <n v="0"/>
    <n v="0"/>
    <n v="0"/>
    <n v="0"/>
    <n v="20"/>
    <n v="0"/>
    <n v="0"/>
    <n v="0"/>
    <n v="0"/>
    <n v="0"/>
    <n v="0"/>
    <n v="0"/>
    <m/>
    <n v="0"/>
    <n v="0"/>
    <n v="0"/>
    <n v="0"/>
    <n v="0"/>
    <n v="0"/>
    <n v="0"/>
    <n v="0"/>
  </r>
  <r>
    <x v="121"/>
    <x v="3"/>
    <n v="123"/>
    <n v="2"/>
    <n v="125"/>
    <n v="1.6260162601626018"/>
    <n v="2"/>
    <n v="0"/>
    <n v="7"/>
    <n v="79"/>
    <n v="0"/>
    <n v="7"/>
    <n v="8.8599999999999998E-2"/>
    <n v="2"/>
    <n v="0"/>
    <n v="0"/>
    <n v="0"/>
    <m/>
    <n v="5"/>
    <n v="0"/>
    <n v="0"/>
    <n v="0"/>
    <n v="0"/>
    <n v="2"/>
    <n v="0"/>
    <n v="7"/>
  </r>
  <r>
    <x v="122"/>
    <x v="4"/>
    <n v="123"/>
    <n v="0"/>
    <n v="123"/>
    <n v="0"/>
    <n v="0"/>
    <n v="0"/>
    <n v="0"/>
    <n v="8"/>
    <n v="0"/>
    <n v="7"/>
    <n v="0.875"/>
    <n v="1"/>
    <n v="0"/>
    <n v="0"/>
    <n v="0"/>
    <m/>
    <n v="6"/>
    <n v="0"/>
    <n v="0"/>
    <n v="0"/>
    <n v="0"/>
    <n v="0"/>
    <n v="0"/>
    <n v="0"/>
  </r>
  <r>
    <x v="123"/>
    <x v="4"/>
    <n v="123"/>
    <n v="0"/>
    <n v="123"/>
    <n v="0"/>
    <n v="0"/>
    <n v="0"/>
    <n v="0"/>
    <n v="6"/>
    <n v="0"/>
    <n v="0"/>
    <n v="0"/>
    <n v="0"/>
    <n v="0"/>
    <n v="0"/>
    <n v="0"/>
    <m/>
    <n v="0"/>
    <n v="0"/>
    <n v="0"/>
    <n v="0"/>
    <n v="0"/>
    <n v="0"/>
    <n v="0"/>
    <n v="0"/>
  </r>
  <r>
    <x v="124"/>
    <x v="4"/>
    <n v="123"/>
    <n v="0"/>
    <n v="123"/>
    <n v="0"/>
    <n v="0"/>
    <n v="0"/>
    <n v="0"/>
    <n v="1"/>
    <n v="0"/>
    <n v="0"/>
    <n v="0"/>
    <n v="0"/>
    <n v="0"/>
    <n v="0"/>
    <n v="0"/>
    <m/>
    <n v="0"/>
    <n v="0"/>
    <n v="0"/>
    <n v="0"/>
    <n v="0"/>
    <n v="0"/>
    <n v="0"/>
    <n v="0"/>
  </r>
  <r>
    <x v="125"/>
    <x v="4"/>
    <n v="123"/>
    <n v="0"/>
    <n v="123"/>
    <n v="0"/>
    <n v="0"/>
    <n v="0"/>
    <n v="0"/>
    <n v="1"/>
    <n v="0"/>
    <n v="0"/>
    <n v="0"/>
    <n v="0"/>
    <n v="0"/>
    <n v="0"/>
    <n v="0"/>
    <m/>
    <n v="0"/>
    <n v="0"/>
    <n v="0"/>
    <n v="0"/>
    <n v="0"/>
    <n v="0"/>
    <n v="0"/>
    <n v="0"/>
  </r>
  <r>
    <x v="126"/>
    <x v="4"/>
    <n v="123"/>
    <n v="0"/>
    <n v="123"/>
    <n v="0"/>
    <n v="0"/>
    <n v="0"/>
    <n v="0"/>
    <n v="1"/>
    <n v="0"/>
    <n v="0"/>
    <n v="0"/>
    <n v="0"/>
    <n v="0"/>
    <n v="0"/>
    <n v="0"/>
    <m/>
    <n v="0"/>
    <n v="0"/>
    <n v="0"/>
    <n v="0"/>
    <n v="0"/>
    <n v="0"/>
    <n v="0"/>
    <n v="0"/>
  </r>
  <r>
    <x v="127"/>
    <x v="4"/>
    <n v="123"/>
    <n v="0"/>
    <n v="123"/>
    <n v="0"/>
    <n v="0"/>
    <n v="0"/>
    <n v="0"/>
    <n v="6"/>
    <n v="0"/>
    <n v="0"/>
    <n v="0"/>
    <n v="0"/>
    <n v="0"/>
    <n v="0"/>
    <n v="0"/>
    <m/>
    <n v="0"/>
    <n v="0"/>
    <n v="0"/>
    <n v="0"/>
    <n v="0"/>
    <n v="0"/>
    <n v="0"/>
    <n v="0"/>
  </r>
  <r>
    <x v="128"/>
    <x v="4"/>
    <n v="123"/>
    <n v="0"/>
    <n v="123"/>
    <n v="0"/>
    <n v="0"/>
    <n v="0"/>
    <n v="0"/>
    <n v="1"/>
    <n v="0"/>
    <n v="0"/>
    <n v="0"/>
    <n v="0"/>
    <n v="0"/>
    <n v="0"/>
    <n v="0"/>
    <m/>
    <n v="0"/>
    <n v="0"/>
    <n v="0"/>
    <n v="0"/>
    <n v="0"/>
    <n v="0"/>
    <n v="0"/>
    <n v="0"/>
  </r>
  <r>
    <x v="129"/>
    <x v="4"/>
    <n v="123"/>
    <n v="0"/>
    <n v="123"/>
    <n v="0"/>
    <n v="0"/>
    <n v="0"/>
    <n v="0"/>
    <n v="8"/>
    <n v="0"/>
    <n v="0"/>
    <n v="0"/>
    <n v="0"/>
    <n v="0"/>
    <n v="0"/>
    <n v="0"/>
    <m/>
    <n v="0"/>
    <n v="0"/>
    <n v="0"/>
    <n v="0"/>
    <n v="0"/>
    <n v="0"/>
    <n v="0"/>
    <n v="0"/>
  </r>
  <r>
    <x v="130"/>
    <x v="4"/>
    <n v="123"/>
    <n v="0"/>
    <n v="123"/>
    <n v="0"/>
    <n v="0"/>
    <n v="0"/>
    <n v="0"/>
    <n v="22"/>
    <n v="0"/>
    <n v="0"/>
    <n v="0"/>
    <n v="0"/>
    <n v="0"/>
    <n v="0"/>
    <n v="0"/>
    <m/>
    <n v="0"/>
    <n v="0"/>
    <n v="0"/>
    <n v="0"/>
    <n v="0"/>
    <n v="0"/>
    <n v="0"/>
    <n v="0"/>
  </r>
  <r>
    <x v="131"/>
    <x v="4"/>
    <n v="123"/>
    <n v="0"/>
    <n v="123"/>
    <n v="0"/>
    <n v="0"/>
    <n v="0"/>
    <n v="0"/>
    <n v="35"/>
    <n v="0"/>
    <n v="0"/>
    <n v="0"/>
    <n v="0"/>
    <n v="0"/>
    <n v="0"/>
    <n v="0"/>
    <m/>
    <n v="0"/>
    <n v="0"/>
    <n v="0"/>
    <n v="0"/>
    <n v="0"/>
    <n v="0"/>
    <n v="0"/>
    <n v="0"/>
  </r>
  <r>
    <x v="132"/>
    <x v="4"/>
    <n v="123"/>
    <n v="0"/>
    <n v="123"/>
    <n v="0"/>
    <n v="0"/>
    <n v="0"/>
    <n v="0"/>
    <n v="3"/>
    <n v="1"/>
    <n v="0"/>
    <n v="0"/>
    <n v="0"/>
    <n v="0"/>
    <n v="0"/>
    <n v="0"/>
    <m/>
    <n v="0"/>
    <n v="0"/>
    <n v="0"/>
    <n v="0"/>
    <n v="0"/>
    <n v="0"/>
    <n v="0"/>
    <n v="0"/>
  </r>
  <r>
    <x v="133"/>
    <x v="4"/>
    <n v="123"/>
    <n v="0"/>
    <n v="123"/>
    <n v="0"/>
    <n v="0"/>
    <n v="0"/>
    <n v="0"/>
    <n v="2"/>
    <n v="0"/>
    <n v="0"/>
    <n v="0"/>
    <n v="0"/>
    <n v="0"/>
    <n v="0"/>
    <n v="0"/>
    <m/>
    <n v="0"/>
    <n v="0"/>
    <n v="0"/>
    <n v="0"/>
    <n v="0"/>
    <n v="0"/>
    <n v="0"/>
    <n v="0"/>
  </r>
  <r>
    <x v="134"/>
    <x v="4"/>
    <n v="123"/>
    <n v="0"/>
    <n v="123"/>
    <n v="0"/>
    <n v="0"/>
    <n v="0"/>
    <n v="0"/>
    <n v="35"/>
    <n v="0"/>
    <n v="0"/>
    <n v="0"/>
    <n v="0"/>
    <n v="0"/>
    <n v="0"/>
    <n v="0"/>
    <m/>
    <n v="0"/>
    <n v="0"/>
    <n v="0"/>
    <n v="0"/>
    <n v="0"/>
    <n v="0"/>
    <n v="0"/>
    <n v="0"/>
  </r>
  <r>
    <x v="135"/>
    <x v="4"/>
    <n v="125"/>
    <n v="2"/>
    <n v="127"/>
    <n v="1.6"/>
    <n v="0"/>
    <n v="0"/>
    <n v="0"/>
    <n v="16"/>
    <n v="0"/>
    <n v="0"/>
    <n v="0"/>
    <n v="0"/>
    <n v="0"/>
    <n v="0"/>
    <n v="0"/>
    <m/>
    <n v="0"/>
    <n v="0"/>
    <n v="0"/>
    <n v="0"/>
    <n v="0"/>
    <n v="0"/>
    <n v="0"/>
    <n v="0"/>
  </r>
  <r>
    <x v="136"/>
    <x v="4"/>
    <n v="125"/>
    <n v="0"/>
    <n v="125"/>
    <n v="0"/>
    <n v="0"/>
    <n v="0"/>
    <n v="0"/>
    <n v="3"/>
    <n v="0"/>
    <n v="0"/>
    <n v="0"/>
    <n v="0"/>
    <n v="0"/>
    <n v="0"/>
    <n v="0"/>
    <m/>
    <n v="0"/>
    <n v="0"/>
    <n v="0"/>
    <n v="0"/>
    <n v="0"/>
    <n v="0"/>
    <n v="0"/>
    <n v="0"/>
  </r>
  <r>
    <x v="137"/>
    <x v="4"/>
    <n v="125"/>
    <n v="0"/>
    <n v="125"/>
    <n v="0"/>
    <n v="0"/>
    <n v="0"/>
    <n v="0"/>
    <n v="8"/>
    <n v="0"/>
    <n v="0"/>
    <n v="0"/>
    <n v="0"/>
    <n v="0"/>
    <n v="0"/>
    <n v="0"/>
    <m/>
    <n v="0"/>
    <n v="0"/>
    <n v="0"/>
    <n v="0"/>
    <n v="0"/>
    <n v="0"/>
    <n v="0"/>
    <n v="0"/>
  </r>
  <r>
    <x v="138"/>
    <x v="4"/>
    <n v="125"/>
    <n v="0"/>
    <n v="125"/>
    <n v="0"/>
    <n v="0"/>
    <n v="0"/>
    <n v="0"/>
    <n v="0"/>
    <n v="0"/>
    <n v="0"/>
    <n v="0"/>
    <n v="0"/>
    <n v="0"/>
    <n v="0"/>
    <n v="0"/>
    <m/>
    <n v="0"/>
    <n v="0"/>
    <n v="0"/>
    <n v="0"/>
    <n v="0"/>
    <n v="0"/>
    <n v="0"/>
    <n v="0"/>
  </r>
  <r>
    <x v="139"/>
    <x v="4"/>
    <n v="125"/>
    <n v="0"/>
    <n v="125"/>
    <n v="0"/>
    <n v="0"/>
    <n v="0"/>
    <n v="0"/>
    <n v="0"/>
    <n v="0"/>
    <n v="0"/>
    <n v="0"/>
    <n v="0"/>
    <n v="0"/>
    <n v="0"/>
    <n v="0"/>
    <m/>
    <n v="0"/>
    <n v="0"/>
    <n v="0"/>
    <n v="0"/>
    <n v="0"/>
    <n v="0"/>
    <n v="0"/>
    <n v="0"/>
  </r>
  <r>
    <x v="140"/>
    <x v="4"/>
    <n v="125"/>
    <n v="0"/>
    <n v="125"/>
    <n v="0"/>
    <n v="0"/>
    <n v="0"/>
    <n v="0"/>
    <n v="1"/>
    <n v="0"/>
    <n v="0"/>
    <n v="0"/>
    <n v="0"/>
    <n v="0"/>
    <n v="0"/>
    <n v="0"/>
    <m/>
    <n v="0"/>
    <n v="0"/>
    <n v="0"/>
    <n v="0"/>
    <n v="0"/>
    <n v="0"/>
    <n v="0"/>
    <n v="0"/>
  </r>
  <r>
    <x v="141"/>
    <x v="4"/>
    <n v="125"/>
    <n v="0"/>
    <n v="125"/>
    <n v="0"/>
    <n v="0"/>
    <n v="0"/>
    <n v="0"/>
    <n v="14"/>
    <n v="0"/>
    <n v="0"/>
    <n v="0"/>
    <n v="0"/>
    <n v="0"/>
    <n v="0"/>
    <n v="0"/>
    <m/>
    <n v="0"/>
    <n v="0"/>
    <n v="0"/>
    <n v="0"/>
    <n v="0"/>
    <n v="0"/>
    <n v="0"/>
    <n v="0"/>
  </r>
  <r>
    <x v="142"/>
    <x v="4"/>
    <n v="125"/>
    <n v="0"/>
    <n v="125"/>
    <n v="0"/>
    <n v="0"/>
    <n v="0"/>
    <n v="0"/>
    <n v="2"/>
    <n v="0"/>
    <n v="0"/>
    <n v="0"/>
    <n v="0"/>
    <n v="0"/>
    <n v="0"/>
    <n v="0"/>
    <m/>
    <n v="0"/>
    <n v="0"/>
    <n v="0"/>
    <n v="0"/>
    <n v="0"/>
    <n v="0"/>
    <n v="0"/>
    <n v="0"/>
  </r>
  <r>
    <x v="143"/>
    <x v="4"/>
    <n v="125"/>
    <n v="0"/>
    <n v="125"/>
    <n v="0"/>
    <n v="0"/>
    <n v="0"/>
    <n v="0"/>
    <n v="20"/>
    <n v="0"/>
    <n v="0"/>
    <n v="0"/>
    <n v="0"/>
    <n v="0"/>
    <n v="0"/>
    <n v="0"/>
    <m/>
    <n v="0"/>
    <n v="0"/>
    <n v="0"/>
    <n v="0"/>
    <n v="0"/>
    <n v="0"/>
    <n v="0"/>
    <n v="0"/>
  </r>
  <r>
    <x v="144"/>
    <x v="4"/>
    <n v="125"/>
    <n v="0"/>
    <n v="125"/>
    <n v="0"/>
    <n v="0"/>
    <n v="0"/>
    <n v="0"/>
    <n v="11"/>
    <n v="0"/>
    <n v="2"/>
    <n v="0.18179999999999999"/>
    <n v="0"/>
    <n v="0"/>
    <n v="0"/>
    <n v="0"/>
    <m/>
    <n v="2"/>
    <n v="0"/>
    <n v="0"/>
    <n v="0"/>
    <n v="0"/>
    <n v="0"/>
    <n v="0"/>
    <n v="0"/>
  </r>
  <r>
    <x v="145"/>
    <x v="4"/>
    <n v="125"/>
    <n v="0"/>
    <n v="125"/>
    <n v="0"/>
    <n v="0"/>
    <n v="0"/>
    <n v="0"/>
    <n v="4"/>
    <n v="0"/>
    <n v="0"/>
    <n v="0"/>
    <n v="0"/>
    <n v="0"/>
    <n v="0"/>
    <n v="0"/>
    <m/>
    <n v="0"/>
    <n v="0"/>
    <n v="0"/>
    <n v="0"/>
    <n v="0"/>
    <n v="0"/>
    <n v="0"/>
    <n v="0"/>
  </r>
  <r>
    <x v="146"/>
    <x v="4"/>
    <n v="125"/>
    <n v="0"/>
    <n v="125"/>
    <n v="0"/>
    <n v="0"/>
    <n v="0"/>
    <n v="0"/>
    <n v="3"/>
    <n v="0"/>
    <n v="0"/>
    <n v="0"/>
    <n v="0"/>
    <n v="0"/>
    <n v="0"/>
    <n v="0"/>
    <m/>
    <n v="0"/>
    <n v="0"/>
    <n v="0"/>
    <n v="0"/>
    <n v="0"/>
    <n v="0"/>
    <n v="0"/>
    <n v="0"/>
  </r>
  <r>
    <x v="147"/>
    <x v="4"/>
    <n v="125"/>
    <n v="0"/>
    <n v="125"/>
    <n v="0"/>
    <n v="0"/>
    <n v="0"/>
    <n v="0"/>
    <n v="1"/>
    <n v="0"/>
    <n v="0"/>
    <n v="0"/>
    <n v="0"/>
    <n v="0"/>
    <n v="0"/>
    <n v="0"/>
    <m/>
    <n v="0"/>
    <n v="0"/>
    <n v="0"/>
    <n v="0"/>
    <n v="0"/>
    <n v="0"/>
    <n v="0"/>
    <n v="0"/>
  </r>
  <r>
    <x v="148"/>
    <x v="4"/>
    <n v="125"/>
    <n v="0"/>
    <n v="125"/>
    <n v="0"/>
    <n v="0"/>
    <n v="0"/>
    <n v="0"/>
    <n v="32"/>
    <n v="0"/>
    <n v="0"/>
    <n v="0"/>
    <n v="0"/>
    <n v="0"/>
    <n v="0"/>
    <n v="0"/>
    <m/>
    <n v="0"/>
    <n v="0"/>
    <n v="0"/>
    <n v="0"/>
    <n v="0"/>
    <n v="0"/>
    <n v="0"/>
    <n v="0"/>
  </r>
  <r>
    <x v="149"/>
    <x v="4"/>
    <n v="125"/>
    <n v="0"/>
    <n v="125"/>
    <n v="0"/>
    <n v="0"/>
    <n v="0"/>
    <n v="0"/>
    <n v="22"/>
    <n v="0"/>
    <n v="0"/>
    <n v="0"/>
    <n v="0"/>
    <n v="0"/>
    <n v="0"/>
    <n v="0"/>
    <m/>
    <n v="0"/>
    <n v="0"/>
    <n v="0"/>
    <n v="0"/>
    <n v="0"/>
    <n v="0"/>
    <n v="0"/>
    <n v="0"/>
  </r>
  <r>
    <x v="150"/>
    <x v="4"/>
    <m/>
    <m/>
    <m/>
    <m/>
    <n v="0"/>
    <n v="0"/>
    <n v="0"/>
    <m/>
    <m/>
    <n v="0"/>
    <m/>
    <n v="0"/>
    <n v="0"/>
    <n v="0"/>
    <n v="0"/>
    <m/>
    <n v="0"/>
    <n v="0"/>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3B4104-A16B-4469-9083-230E09979D06}"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C47" firstHeaderRow="0" firstDataRow="1" firstDataCol="1"/>
  <pivotFields count="26">
    <pivotField numFmtId="14"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axis="axisRow" showAll="0">
      <items count="6">
        <item x="0"/>
        <item x="1"/>
        <item x="2"/>
        <item x="3"/>
        <item x="4"/>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Fields count="1">
    <field x="-2"/>
  </colFields>
  <colItems count="2">
    <i>
      <x/>
    </i>
    <i i="1">
      <x v="1"/>
    </i>
  </colItems>
  <dataFields count="2">
    <dataField name="Sum of Impressions" fld="9" baseField="0" baseItem="0"/>
    <dataField name="Sum of Engagements" fld="11"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132BCF-256F-424A-80DA-CCCEF17D11EE}"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2:B38" firstHeaderRow="1" firstDataRow="1" firstDataCol="1"/>
  <pivotFields count="26">
    <pivotField numFmtId="14"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axis="axisRow" showAll="0">
      <items count="6">
        <item x="0"/>
        <item x="1"/>
        <item x="2"/>
        <item x="3"/>
        <item x="4"/>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Items count="1">
    <i/>
  </colItems>
  <dataFields count="1">
    <dataField name="Sum of Net Audience Growth"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25A492-2BE3-4275-B502-2E98829ED677}"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3:C29" firstHeaderRow="0" firstDataRow="1" firstDataCol="1"/>
  <pivotFields count="26">
    <pivotField numFmtId="14"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axis="axisRow" showAll="0">
      <items count="6">
        <item x="0"/>
        <item x="1"/>
        <item x="2"/>
        <item x="3"/>
        <item x="4"/>
        <item t="default"/>
      </items>
    </pivotField>
    <pivotField showAll="0"/>
    <pivotField dataField="1"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Fields count="1">
    <field x="-2"/>
  </colFields>
  <colItems count="2">
    <i>
      <x/>
    </i>
    <i i="1">
      <x v="1"/>
    </i>
  </colItems>
  <dataFields count="2">
    <dataField name="Sum of Net Audience Growth" fld="3" baseField="0" baseItem="0"/>
    <dataField name="Sum of Engagement Rate (per Impression)" fld="1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5EFB53-609F-4698-8168-AE141DED1FC1}"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3:C19" firstHeaderRow="0" firstDataRow="1" firstDataCol="1"/>
  <pivotFields count="26">
    <pivotField numFmtId="14"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axis="axisRow" showAll="0">
      <items count="6">
        <item x="0"/>
        <item x="1"/>
        <item x="2"/>
        <item x="3"/>
        <item x="4"/>
        <item t="default"/>
      </items>
    </pivotField>
    <pivotField showAll="0"/>
    <pivotField showAll="0"/>
    <pivotField showAll="0"/>
    <pivotField showAll="0"/>
    <pivotField showAll="0"/>
    <pivotField dataField="1"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Fields count="1">
    <field x="-2"/>
  </colFields>
  <colItems count="2">
    <i>
      <x/>
    </i>
    <i i="1">
      <x v="1"/>
    </i>
  </colItems>
  <dataFields count="2">
    <dataField name="Sum of Engagement Rate (per Impression)" fld="12" baseField="0" baseItem="0"/>
    <dataField name="Sum of Published Posts (Total)" fld="7"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CFA9B1-4FB3-43B0-AF72-8ED5F74BEBA6}"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G9" firstHeaderRow="0" firstDataRow="1" firstDataCol="1"/>
  <pivotFields count="26">
    <pivotField numFmtId="14"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axis="axisRow"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Fields count="1">
    <field x="-2"/>
  </colFields>
  <colItems count="6">
    <i>
      <x/>
    </i>
    <i i="1">
      <x v="1"/>
    </i>
    <i i="2">
      <x v="2"/>
    </i>
    <i i="3">
      <x v="3"/>
    </i>
    <i i="4">
      <x v="4"/>
    </i>
    <i i="5">
      <x v="5"/>
    </i>
  </colItems>
  <dataFields count="6">
    <dataField name="Count of Saves" fld="17" subtotal="count" baseField="0" baseItem="0"/>
    <dataField name="Sum of Post Link Clicks" fld="16" baseField="0" baseItem="0"/>
    <dataField name="Sum of Comments" fld="14" baseField="0" baseItem="0"/>
    <dataField name="Sum of Reactions" fld="13" baseField="0" baseItem="0"/>
    <dataField name="Sum of Other Post Clicks" fld="18" baseField="0" baseItem="0"/>
    <dataField name="Sum of Shares" fld="15"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19E143E1-1702-4887-9892-3F3FCF9B6FE9}" sourceName="Date">
  <pivotTables>
    <pivotTable tabId="11" name="PivotTable8"/>
    <pivotTable tabId="11" name="PivotTable10"/>
    <pivotTable tabId="11" name="PivotTable11"/>
    <pivotTable tabId="11" name="PivotTable12"/>
    <pivotTable tabId="11" name="PivotTable9"/>
  </pivotTables>
  <data>
    <tabular pivotCacheId="1055402490">
      <items count="151">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86309C7-D6AC-4D06-9FF2-B3598CE01B9E}" sourceName="Month">
  <pivotTables>
    <pivotTable tabId="11" name="PivotTable8"/>
    <pivotTable tabId="11" name="PivotTable10"/>
    <pivotTable tabId="11" name="PivotTable11"/>
    <pivotTable tabId="11" name="PivotTable12"/>
    <pivotTable tabId="11" name="PivotTable9"/>
  </pivotTables>
  <data>
    <tabular pivotCacheId="1055402490">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AA36E023-18A5-46F4-B253-8E0E021A3500}" cache="Slicer_Date" caption="Date" startItem="39" rowHeight="247650"/>
  <slicer name="Month" xr10:uid="{6050E587-15D5-4484-B435-49BE24CE3F90}" cache="Slicer_Month" caption="Month"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A26087-F115-45B5-816E-416FA1C6639E}" name="Table1" displayName="Table1" ref="A1:Z152" totalsRowShown="0">
  <autoFilter ref="A1:Z152" xr:uid="{E9A26087-F115-45B5-816E-416FA1C6639E}"/>
  <tableColumns count="26">
    <tableColumn id="1" xr3:uid="{8B5D9594-413A-43AC-A7B0-02DA4DC1A613}" name="Date" dataDxfId="2"/>
    <tableColumn id="2" xr3:uid="{CE7FC25E-211F-4D1D-9B84-31C23F428A5F}" name="Month" dataDxfId="1"/>
    <tableColumn id="3" xr3:uid="{3EA67203-3E94-49B6-B90D-6A9C7D1E00A6}" name="Audience"/>
    <tableColumn id="4" xr3:uid="{D872ACB7-74C1-449A-A272-95C929E43F1D}" name="Net Audience Growth"/>
    <tableColumn id="5" xr3:uid="{3553D57C-6EEC-4179-84C9-193AEB6212E3}" name="Audience Gained"/>
    <tableColumn id="6" xr3:uid="{EF5D7A34-DFB2-4CAC-B617-B275EE8BCFDF}" name="AGR%"/>
    <tableColumn id="7" xr3:uid="{29F9C242-A634-490D-B71A-6C9423CC04F6}" name="Sent Messages (Total)"/>
    <tableColumn id="8" xr3:uid="{7F1AC89C-072B-47CA-AE8D-D36A119C103E}" name="Published Posts (Total)"/>
    <tableColumn id="9" xr3:uid="{017B204D-83B5-4289-93E2-4C2DE3DD5C96}" name="Received Messages (Total)"/>
    <tableColumn id="10" xr3:uid="{D636CDB2-850B-4DB4-90BF-6EE1D470AA76}" name="Impressions"/>
    <tableColumn id="11" xr3:uid="{9D11B491-8C0B-4912-9AAA-A9800659DDB9}" name="Video Views"/>
    <tableColumn id="12" xr3:uid="{E6336589-65E6-4C9F-B6D3-C3B5C87E6C86}" name="Engagements"/>
    <tableColumn id="13" xr3:uid="{20D1D4A5-9E98-49E0-B43B-2D928A52749D}" name="Engagement Rate (per Impression)" dataDxfId="0"/>
    <tableColumn id="14" xr3:uid="{D7986DDA-16EA-4E4F-AC4C-1BD5AD52065A}" name="Reactions"/>
    <tableColumn id="15" xr3:uid="{FFD18CB3-10EF-429E-BF7F-C7CF9AFC97BF}" name="Comments"/>
    <tableColumn id="16" xr3:uid="{75D8CFFB-46F2-497E-89D3-8E78437C67DF}" name="Shares"/>
    <tableColumn id="17" xr3:uid="{4619C538-D099-41C3-9B8B-F8489335BAC5}" name="Post Link Clicks"/>
    <tableColumn id="18" xr3:uid="{14538AA5-9155-454C-A085-2E2533009FF5}" name="Saves"/>
    <tableColumn id="19" xr3:uid="{3C08FB35-501F-4846-A7FE-6F570AD3DA90}" name="Other Post Clicks"/>
    <tableColumn id="20" xr3:uid="{D0D36ADC-5F05-4ABC-AA7A-1CF952F73972}" name="Sent Posts (Facebook)"/>
    <tableColumn id="21" xr3:uid="{1E6B2449-601E-4FE4-AD5D-2B706F580C2D}" name="Sent Ad Posts (Facebook)"/>
    <tableColumn id="22" xr3:uid="{5F7D734F-4088-4195-8925-1BCE933847C8}" name="Sent Comments (Facebook)"/>
    <tableColumn id="23" xr3:uid="{CCC4D73B-1C54-4A29-B4FE-B3F1F849AA71}" name="Sent Ad Comments (Facebook)"/>
    <tableColumn id="24" xr3:uid="{9B6431F6-5E6E-4437-9B08-7514C9506318}" name="Sent Private Messages (Facebook)"/>
    <tableColumn id="25" xr3:uid="{7BEA1FD6-E3CF-4C42-A197-7BD23E47EDBB}" name="Received Wall Posts (Facebook)"/>
    <tableColumn id="26" xr3:uid="{37D2228D-1BF7-4F46-8897-170FE89CF284}" name="Received Private Messages (Faceboo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7017C-F3CE-4EEA-9481-B62FE45F856D}">
  <dimension ref="A1"/>
  <sheetViews>
    <sheetView workbookViewId="0">
      <selection activeCell="R21" sqref="R21"/>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5C726-3236-4CE9-8703-D48D5572E179}">
  <dimension ref="A3:G47"/>
  <sheetViews>
    <sheetView tabSelected="1" workbookViewId="0">
      <selection activeCell="F23" sqref="F23"/>
    </sheetView>
  </sheetViews>
  <sheetFormatPr defaultRowHeight="14.4" x14ac:dyDescent="0.3"/>
  <cols>
    <col min="1" max="1" width="13" bestFit="1" customWidth="1"/>
    <col min="2" max="2" width="38.77734375" bestFit="1" customWidth="1"/>
    <col min="3" max="3" width="28.21875" bestFit="1" customWidth="1"/>
    <col min="4" max="4" width="17.44140625" bestFit="1" customWidth="1"/>
    <col min="5" max="5" width="16.33203125" bestFit="1" customWidth="1"/>
    <col min="6" max="6" width="23" bestFit="1" customWidth="1"/>
    <col min="7" max="7" width="13.5546875" bestFit="1" customWidth="1"/>
  </cols>
  <sheetData>
    <row r="3" spans="1:7" x14ac:dyDescent="0.3">
      <c r="A3" s="4" t="s">
        <v>25</v>
      </c>
      <c r="B3" t="s">
        <v>43</v>
      </c>
      <c r="C3" t="s">
        <v>39</v>
      </c>
      <c r="D3" t="s">
        <v>34</v>
      </c>
      <c r="E3" t="s">
        <v>33</v>
      </c>
      <c r="F3" t="s">
        <v>40</v>
      </c>
      <c r="G3" t="s">
        <v>35</v>
      </c>
    </row>
    <row r="4" spans="1:7" x14ac:dyDescent="0.3">
      <c r="A4" s="5" t="s">
        <v>26</v>
      </c>
      <c r="B4" s="9"/>
      <c r="C4" s="9">
        <v>3</v>
      </c>
      <c r="D4" s="9">
        <v>0</v>
      </c>
      <c r="E4" s="9">
        <v>5</v>
      </c>
      <c r="F4" s="9">
        <v>3</v>
      </c>
      <c r="G4" s="9">
        <v>0</v>
      </c>
    </row>
    <row r="5" spans="1:7" x14ac:dyDescent="0.3">
      <c r="A5" s="5" t="s">
        <v>27</v>
      </c>
      <c r="B5" s="9"/>
      <c r="C5" s="9">
        <v>0</v>
      </c>
      <c r="D5" s="9">
        <v>15</v>
      </c>
      <c r="E5" s="9">
        <v>76</v>
      </c>
      <c r="F5" s="9">
        <v>113</v>
      </c>
      <c r="G5" s="9">
        <v>3</v>
      </c>
    </row>
    <row r="6" spans="1:7" x14ac:dyDescent="0.3">
      <c r="A6" s="5" t="s">
        <v>28</v>
      </c>
      <c r="B6" s="9"/>
      <c r="C6" s="9">
        <v>0</v>
      </c>
      <c r="D6" s="9">
        <v>1</v>
      </c>
      <c r="E6" s="9">
        <v>7</v>
      </c>
      <c r="F6" s="9">
        <v>7</v>
      </c>
      <c r="G6" s="9">
        <v>0</v>
      </c>
    </row>
    <row r="7" spans="1:7" x14ac:dyDescent="0.3">
      <c r="A7" s="5" t="s">
        <v>29</v>
      </c>
      <c r="B7" s="9"/>
      <c r="C7" s="9">
        <v>0</v>
      </c>
      <c r="D7" s="9">
        <v>0</v>
      </c>
      <c r="E7" s="9">
        <v>18</v>
      </c>
      <c r="F7" s="9">
        <v>18</v>
      </c>
      <c r="G7" s="9">
        <v>2</v>
      </c>
    </row>
    <row r="8" spans="1:7" x14ac:dyDescent="0.3">
      <c r="A8" s="5" t="s">
        <v>30</v>
      </c>
      <c r="B8" s="9"/>
      <c r="C8" s="9">
        <v>0</v>
      </c>
      <c r="D8" s="9">
        <v>0</v>
      </c>
      <c r="E8" s="9">
        <v>1</v>
      </c>
      <c r="F8" s="9">
        <v>8</v>
      </c>
      <c r="G8" s="9">
        <v>0</v>
      </c>
    </row>
    <row r="9" spans="1:7" x14ac:dyDescent="0.3">
      <c r="A9" s="5" t="s">
        <v>31</v>
      </c>
      <c r="B9" s="9"/>
      <c r="C9" s="9">
        <v>3</v>
      </c>
      <c r="D9" s="9">
        <v>16</v>
      </c>
      <c r="E9" s="9">
        <v>107</v>
      </c>
      <c r="F9" s="9">
        <v>149</v>
      </c>
      <c r="G9" s="9">
        <v>5</v>
      </c>
    </row>
    <row r="13" spans="1:7" x14ac:dyDescent="0.3">
      <c r="A13" s="4" t="s">
        <v>25</v>
      </c>
      <c r="B13" t="s">
        <v>42</v>
      </c>
      <c r="C13" t="s">
        <v>41</v>
      </c>
    </row>
    <row r="14" spans="1:7" x14ac:dyDescent="0.3">
      <c r="A14" s="5" t="s">
        <v>26</v>
      </c>
      <c r="B14" s="9">
        <v>1.7046000000000001</v>
      </c>
      <c r="C14" s="9">
        <v>2</v>
      </c>
    </row>
    <row r="15" spans="1:7" x14ac:dyDescent="0.3">
      <c r="A15" s="5" t="s">
        <v>27</v>
      </c>
      <c r="B15" s="9">
        <v>3.6275000000000004</v>
      </c>
      <c r="C15" s="9">
        <v>4</v>
      </c>
    </row>
    <row r="16" spans="1:7" x14ac:dyDescent="0.3">
      <c r="A16" s="5" t="s">
        <v>28</v>
      </c>
      <c r="B16" s="9">
        <v>0.79380000000000006</v>
      </c>
      <c r="C16" s="9">
        <v>2</v>
      </c>
    </row>
    <row r="17" spans="1:3" x14ac:dyDescent="0.3">
      <c r="A17" s="5" t="s">
        <v>29</v>
      </c>
      <c r="B17" s="9">
        <v>2.0404</v>
      </c>
      <c r="C17" s="9">
        <v>2</v>
      </c>
    </row>
    <row r="18" spans="1:3" x14ac:dyDescent="0.3">
      <c r="A18" s="5" t="s">
        <v>30</v>
      </c>
      <c r="B18" s="9">
        <v>1.0568</v>
      </c>
      <c r="C18" s="9">
        <v>0</v>
      </c>
    </row>
    <row r="19" spans="1:3" x14ac:dyDescent="0.3">
      <c r="A19" s="5" t="s">
        <v>31</v>
      </c>
      <c r="B19" s="9">
        <v>9.2230999999999987</v>
      </c>
      <c r="C19" s="9">
        <v>10</v>
      </c>
    </row>
    <row r="23" spans="1:3" x14ac:dyDescent="0.3">
      <c r="A23" s="4" t="s">
        <v>25</v>
      </c>
      <c r="B23" t="s">
        <v>37</v>
      </c>
      <c r="C23" t="s">
        <v>42</v>
      </c>
    </row>
    <row r="24" spans="1:3" x14ac:dyDescent="0.3">
      <c r="A24" s="5" t="s">
        <v>26</v>
      </c>
      <c r="B24" s="9">
        <v>0</v>
      </c>
      <c r="C24" s="9">
        <v>1.7046000000000001</v>
      </c>
    </row>
    <row r="25" spans="1:3" x14ac:dyDescent="0.3">
      <c r="A25" s="5" t="s">
        <v>27</v>
      </c>
      <c r="B25" s="9">
        <v>1</v>
      </c>
      <c r="C25" s="9">
        <v>3.6275000000000004</v>
      </c>
    </row>
    <row r="26" spans="1:3" x14ac:dyDescent="0.3">
      <c r="A26" s="5" t="s">
        <v>28</v>
      </c>
      <c r="B26" s="9">
        <v>4</v>
      </c>
      <c r="C26" s="9">
        <v>0.79380000000000006</v>
      </c>
    </row>
    <row r="27" spans="1:3" x14ac:dyDescent="0.3">
      <c r="A27" s="5" t="s">
        <v>29</v>
      </c>
      <c r="B27" s="9">
        <v>4</v>
      </c>
      <c r="C27" s="9">
        <v>2.0404</v>
      </c>
    </row>
    <row r="28" spans="1:3" x14ac:dyDescent="0.3">
      <c r="A28" s="5" t="s">
        <v>30</v>
      </c>
      <c r="B28" s="9">
        <v>2</v>
      </c>
      <c r="C28" s="9">
        <v>1.0568</v>
      </c>
    </row>
    <row r="29" spans="1:3" x14ac:dyDescent="0.3">
      <c r="A29" s="5" t="s">
        <v>31</v>
      </c>
      <c r="B29" s="9">
        <v>11</v>
      </c>
      <c r="C29" s="9">
        <v>9.2230999999999987</v>
      </c>
    </row>
    <row r="32" spans="1:3" x14ac:dyDescent="0.3">
      <c r="A32" s="4" t="s">
        <v>25</v>
      </c>
      <c r="B32" t="s">
        <v>37</v>
      </c>
    </row>
    <row r="33" spans="1:3" x14ac:dyDescent="0.3">
      <c r="A33" s="5" t="s">
        <v>26</v>
      </c>
      <c r="B33" s="9">
        <v>0</v>
      </c>
    </row>
    <row r="34" spans="1:3" x14ac:dyDescent="0.3">
      <c r="A34" s="5" t="s">
        <v>27</v>
      </c>
      <c r="B34" s="9">
        <v>1</v>
      </c>
    </row>
    <row r="35" spans="1:3" x14ac:dyDescent="0.3">
      <c r="A35" s="5" t="s">
        <v>28</v>
      </c>
      <c r="B35" s="9">
        <v>4</v>
      </c>
    </row>
    <row r="36" spans="1:3" x14ac:dyDescent="0.3">
      <c r="A36" s="5" t="s">
        <v>29</v>
      </c>
      <c r="B36" s="9">
        <v>4</v>
      </c>
    </row>
    <row r="37" spans="1:3" x14ac:dyDescent="0.3">
      <c r="A37" s="5" t="s">
        <v>30</v>
      </c>
      <c r="B37" s="9">
        <v>2</v>
      </c>
    </row>
    <row r="38" spans="1:3" x14ac:dyDescent="0.3">
      <c r="A38" s="5" t="s">
        <v>31</v>
      </c>
      <c r="B38" s="9">
        <v>11</v>
      </c>
    </row>
    <row r="41" spans="1:3" x14ac:dyDescent="0.3">
      <c r="A41" s="4" t="s">
        <v>25</v>
      </c>
      <c r="B41" t="s">
        <v>32</v>
      </c>
      <c r="C41" t="s">
        <v>36</v>
      </c>
    </row>
    <row r="42" spans="1:3" x14ac:dyDescent="0.3">
      <c r="A42" s="5" t="s">
        <v>26</v>
      </c>
      <c r="B42" s="9">
        <v>305</v>
      </c>
      <c r="C42" s="9">
        <v>11</v>
      </c>
    </row>
    <row r="43" spans="1:3" x14ac:dyDescent="0.3">
      <c r="A43" s="5" t="s">
        <v>27</v>
      </c>
      <c r="B43" s="9">
        <v>959</v>
      </c>
      <c r="C43" s="9">
        <v>207</v>
      </c>
    </row>
    <row r="44" spans="1:3" x14ac:dyDescent="0.3">
      <c r="A44" s="5" t="s">
        <v>28</v>
      </c>
      <c r="B44" s="9">
        <v>479</v>
      </c>
      <c r="C44" s="9">
        <v>15</v>
      </c>
    </row>
    <row r="45" spans="1:3" x14ac:dyDescent="0.3">
      <c r="A45" s="5" t="s">
        <v>29</v>
      </c>
      <c r="B45" s="9">
        <v>572</v>
      </c>
      <c r="C45" s="9">
        <v>38</v>
      </c>
    </row>
    <row r="46" spans="1:3" x14ac:dyDescent="0.3">
      <c r="A46" s="5" t="s">
        <v>30</v>
      </c>
      <c r="B46" s="9">
        <v>266</v>
      </c>
      <c r="C46" s="9">
        <v>9</v>
      </c>
    </row>
    <row r="47" spans="1:3" x14ac:dyDescent="0.3">
      <c r="A47" s="5" t="s">
        <v>31</v>
      </c>
      <c r="B47" s="9">
        <v>2581</v>
      </c>
      <c r="C47" s="9">
        <v>280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90372-4326-49E9-AA79-616431448120}">
  <dimension ref="A1:Z152"/>
  <sheetViews>
    <sheetView topLeftCell="A106" workbookViewId="0">
      <selection activeCell="E20" sqref="E20"/>
    </sheetView>
  </sheetViews>
  <sheetFormatPr defaultRowHeight="14.4" x14ac:dyDescent="0.3"/>
  <cols>
    <col min="1" max="1" width="10.33203125" bestFit="1" customWidth="1"/>
    <col min="2" max="2" width="10.33203125" customWidth="1"/>
    <col min="3" max="3" width="10.6640625" customWidth="1"/>
    <col min="4" max="4" width="20.33203125" customWidth="1"/>
    <col min="5" max="5" width="17" customWidth="1"/>
    <col min="6" max="6" width="14.77734375" customWidth="1"/>
    <col min="7" max="7" width="20.77734375" customWidth="1"/>
    <col min="8" max="8" width="21.88671875" customWidth="1"/>
    <col min="9" max="9" width="24.6640625" customWidth="1"/>
    <col min="10" max="10" width="13.109375" customWidth="1"/>
    <col min="11" max="11" width="12.88671875" customWidth="1"/>
    <col min="12" max="12" width="14.5546875" bestFit="1" customWidth="1"/>
    <col min="13" max="13" width="31.21875" customWidth="1"/>
    <col min="14" max="14" width="11.109375" customWidth="1"/>
    <col min="15" max="15" width="12" customWidth="1"/>
    <col min="16" max="16" width="8.5546875" customWidth="1"/>
    <col min="17" max="17" width="15.88671875" customWidth="1"/>
    <col min="19" max="19" width="17.109375" customWidth="1"/>
    <col min="20" max="20" width="21.33203125" customWidth="1"/>
    <col min="21" max="21" width="23.88671875" customWidth="1"/>
    <col min="22" max="22" width="25.88671875" customWidth="1"/>
    <col min="23" max="23" width="28.44140625" customWidth="1"/>
    <col min="24" max="24" width="31" customWidth="1"/>
    <col min="25" max="25" width="29.33203125" customWidth="1"/>
    <col min="26" max="26" width="34.88671875" customWidth="1"/>
  </cols>
  <sheetData>
    <row r="1" spans="1:26" x14ac:dyDescent="0.3">
      <c r="A1" t="s">
        <v>0</v>
      </c>
      <c r="B1" t="s">
        <v>24</v>
      </c>
      <c r="C1" t="s">
        <v>1</v>
      </c>
      <c r="D1" t="s">
        <v>2</v>
      </c>
      <c r="E1" t="s">
        <v>3</v>
      </c>
      <c r="F1" t="s">
        <v>38</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row>
    <row r="2" spans="1:26" x14ac:dyDescent="0.3">
      <c r="A2" s="1">
        <v>45809</v>
      </c>
      <c r="B2" s="1" t="s">
        <v>26</v>
      </c>
      <c r="C2">
        <v>114</v>
      </c>
      <c r="D2">
        <v>0</v>
      </c>
      <c r="E2">
        <f>C2+D2</f>
        <v>114</v>
      </c>
      <c r="F2">
        <f>(D2/C2)*100</f>
        <v>0</v>
      </c>
      <c r="G2">
        <v>0</v>
      </c>
      <c r="H2">
        <v>0</v>
      </c>
      <c r="I2">
        <v>0</v>
      </c>
      <c r="J2">
        <v>2</v>
      </c>
      <c r="K2">
        <v>0</v>
      </c>
      <c r="L2">
        <v>0</v>
      </c>
      <c r="M2" s="2">
        <v>0</v>
      </c>
      <c r="N2">
        <v>0</v>
      </c>
      <c r="O2">
        <v>0</v>
      </c>
      <c r="P2">
        <v>0</v>
      </c>
      <c r="Q2">
        <v>0</v>
      </c>
      <c r="S2">
        <v>0</v>
      </c>
      <c r="T2">
        <v>0</v>
      </c>
      <c r="U2">
        <v>0</v>
      </c>
      <c r="V2">
        <v>0</v>
      </c>
      <c r="W2">
        <v>0</v>
      </c>
      <c r="X2">
        <v>0</v>
      </c>
      <c r="Y2">
        <v>0</v>
      </c>
      <c r="Z2">
        <v>0</v>
      </c>
    </row>
    <row r="3" spans="1:26" x14ac:dyDescent="0.3">
      <c r="A3" s="1">
        <v>45810</v>
      </c>
      <c r="B3" s="1" t="s">
        <v>26</v>
      </c>
      <c r="C3">
        <v>114</v>
      </c>
      <c r="D3">
        <v>0</v>
      </c>
      <c r="E3">
        <f t="shared" ref="E3:E66" si="0">C3+D3</f>
        <v>114</v>
      </c>
      <c r="F3">
        <f t="shared" ref="F3:F66" si="1">(D3/C3)*100</f>
        <v>0</v>
      </c>
      <c r="G3">
        <v>0</v>
      </c>
      <c r="H3">
        <v>0</v>
      </c>
      <c r="I3">
        <v>0</v>
      </c>
      <c r="J3">
        <v>25</v>
      </c>
      <c r="K3">
        <v>0</v>
      </c>
      <c r="L3">
        <v>0</v>
      </c>
      <c r="M3" s="2">
        <v>0</v>
      </c>
      <c r="N3">
        <v>0</v>
      </c>
      <c r="O3">
        <v>0</v>
      </c>
      <c r="P3">
        <v>0</v>
      </c>
      <c r="Q3">
        <v>0</v>
      </c>
      <c r="S3">
        <v>0</v>
      </c>
      <c r="T3">
        <v>0</v>
      </c>
      <c r="U3">
        <v>0</v>
      </c>
      <c r="V3">
        <v>0</v>
      </c>
      <c r="W3">
        <v>0</v>
      </c>
      <c r="X3">
        <v>0</v>
      </c>
      <c r="Y3">
        <v>0</v>
      </c>
      <c r="Z3">
        <v>0</v>
      </c>
    </row>
    <row r="4" spans="1:26" x14ac:dyDescent="0.3">
      <c r="A4" s="1">
        <v>45811</v>
      </c>
      <c r="B4" s="1" t="s">
        <v>26</v>
      </c>
      <c r="C4">
        <v>114</v>
      </c>
      <c r="D4">
        <v>0</v>
      </c>
      <c r="E4">
        <f t="shared" si="0"/>
        <v>114</v>
      </c>
      <c r="F4">
        <f t="shared" si="1"/>
        <v>0</v>
      </c>
      <c r="G4">
        <v>0</v>
      </c>
      <c r="H4">
        <v>0</v>
      </c>
      <c r="I4">
        <v>0</v>
      </c>
      <c r="J4">
        <v>3</v>
      </c>
      <c r="K4">
        <v>4</v>
      </c>
      <c r="L4">
        <v>0</v>
      </c>
      <c r="M4" s="2">
        <v>0</v>
      </c>
      <c r="N4">
        <v>0</v>
      </c>
      <c r="O4">
        <v>0</v>
      </c>
      <c r="P4">
        <v>0</v>
      </c>
      <c r="Q4">
        <v>0</v>
      </c>
      <c r="S4">
        <v>0</v>
      </c>
      <c r="T4">
        <v>0</v>
      </c>
      <c r="U4">
        <v>0</v>
      </c>
      <c r="V4">
        <v>0</v>
      </c>
      <c r="W4">
        <v>0</v>
      </c>
      <c r="X4">
        <v>0</v>
      </c>
      <c r="Y4">
        <v>0</v>
      </c>
      <c r="Z4">
        <v>0</v>
      </c>
    </row>
    <row r="5" spans="1:26" x14ac:dyDescent="0.3">
      <c r="A5" s="1">
        <v>45812</v>
      </c>
      <c r="B5" s="1" t="s">
        <v>26</v>
      </c>
      <c r="C5">
        <v>114</v>
      </c>
      <c r="D5">
        <v>0</v>
      </c>
      <c r="E5">
        <f t="shared" si="0"/>
        <v>114</v>
      </c>
      <c r="F5">
        <f t="shared" si="1"/>
        <v>0</v>
      </c>
      <c r="G5">
        <v>0</v>
      </c>
      <c r="H5">
        <v>0</v>
      </c>
      <c r="I5">
        <v>0</v>
      </c>
      <c r="J5">
        <v>18</v>
      </c>
      <c r="K5">
        <v>4</v>
      </c>
      <c r="L5">
        <v>0</v>
      </c>
      <c r="M5" s="2">
        <v>0</v>
      </c>
      <c r="N5">
        <v>0</v>
      </c>
      <c r="O5">
        <v>0</v>
      </c>
      <c r="P5">
        <v>0</v>
      </c>
      <c r="Q5">
        <v>0</v>
      </c>
      <c r="S5">
        <v>0</v>
      </c>
      <c r="T5">
        <v>0</v>
      </c>
      <c r="U5">
        <v>0</v>
      </c>
      <c r="V5">
        <v>0</v>
      </c>
      <c r="W5">
        <v>0</v>
      </c>
      <c r="X5">
        <v>0</v>
      </c>
      <c r="Y5">
        <v>0</v>
      </c>
      <c r="Z5">
        <v>0</v>
      </c>
    </row>
    <row r="6" spans="1:26" x14ac:dyDescent="0.3">
      <c r="A6" s="1">
        <v>45813</v>
      </c>
      <c r="B6" s="1" t="s">
        <v>26</v>
      </c>
      <c r="C6">
        <v>114</v>
      </c>
      <c r="D6">
        <v>0</v>
      </c>
      <c r="E6">
        <f t="shared" si="0"/>
        <v>114</v>
      </c>
      <c r="F6">
        <f t="shared" si="1"/>
        <v>0</v>
      </c>
      <c r="G6">
        <v>0</v>
      </c>
      <c r="H6">
        <v>0</v>
      </c>
      <c r="I6">
        <v>0</v>
      </c>
      <c r="J6">
        <v>12</v>
      </c>
      <c r="K6">
        <v>2</v>
      </c>
      <c r="L6">
        <v>0</v>
      </c>
      <c r="M6" s="2">
        <v>0</v>
      </c>
      <c r="N6">
        <v>0</v>
      </c>
      <c r="O6">
        <v>0</v>
      </c>
      <c r="P6">
        <v>0</v>
      </c>
      <c r="Q6">
        <v>0</v>
      </c>
      <c r="S6">
        <v>0</v>
      </c>
      <c r="T6">
        <v>0</v>
      </c>
      <c r="U6">
        <v>0</v>
      </c>
      <c r="V6">
        <v>0</v>
      </c>
      <c r="W6">
        <v>0</v>
      </c>
      <c r="X6">
        <v>0</v>
      </c>
      <c r="Y6">
        <v>0</v>
      </c>
      <c r="Z6">
        <v>0</v>
      </c>
    </row>
    <row r="7" spans="1:26" x14ac:dyDescent="0.3">
      <c r="A7" s="1">
        <v>45814</v>
      </c>
      <c r="B7" s="1" t="s">
        <v>26</v>
      </c>
      <c r="C7">
        <v>114</v>
      </c>
      <c r="D7">
        <v>0</v>
      </c>
      <c r="E7">
        <f t="shared" si="0"/>
        <v>114</v>
      </c>
      <c r="F7">
        <f t="shared" si="1"/>
        <v>0</v>
      </c>
      <c r="G7">
        <v>0</v>
      </c>
      <c r="H7">
        <v>0</v>
      </c>
      <c r="I7">
        <v>0</v>
      </c>
      <c r="J7">
        <v>11</v>
      </c>
      <c r="K7">
        <v>2</v>
      </c>
      <c r="L7">
        <v>0</v>
      </c>
      <c r="M7" s="2">
        <v>0</v>
      </c>
      <c r="N7">
        <v>0</v>
      </c>
      <c r="O7">
        <v>0</v>
      </c>
      <c r="P7">
        <v>0</v>
      </c>
      <c r="Q7">
        <v>0</v>
      </c>
      <c r="S7">
        <v>0</v>
      </c>
      <c r="T7">
        <v>0</v>
      </c>
      <c r="U7">
        <v>0</v>
      </c>
      <c r="V7">
        <v>0</v>
      </c>
      <c r="W7">
        <v>0</v>
      </c>
      <c r="X7">
        <v>0</v>
      </c>
      <c r="Y7">
        <v>0</v>
      </c>
      <c r="Z7">
        <v>0</v>
      </c>
    </row>
    <row r="8" spans="1:26" x14ac:dyDescent="0.3">
      <c r="A8" s="1">
        <v>45815</v>
      </c>
      <c r="B8" s="1" t="s">
        <v>26</v>
      </c>
      <c r="C8">
        <v>114</v>
      </c>
      <c r="D8">
        <v>0</v>
      </c>
      <c r="E8">
        <f t="shared" si="0"/>
        <v>114</v>
      </c>
      <c r="F8">
        <f t="shared" si="1"/>
        <v>0</v>
      </c>
      <c r="G8">
        <v>0</v>
      </c>
      <c r="H8">
        <v>0</v>
      </c>
      <c r="I8">
        <v>0</v>
      </c>
      <c r="J8">
        <v>4</v>
      </c>
      <c r="K8">
        <v>0</v>
      </c>
      <c r="L8">
        <v>0</v>
      </c>
      <c r="M8" s="2">
        <v>0</v>
      </c>
      <c r="N8">
        <v>0</v>
      </c>
      <c r="O8">
        <v>0</v>
      </c>
      <c r="P8">
        <v>0</v>
      </c>
      <c r="Q8">
        <v>0</v>
      </c>
      <c r="S8">
        <v>0</v>
      </c>
      <c r="T8">
        <v>0</v>
      </c>
      <c r="U8">
        <v>0</v>
      </c>
      <c r="V8">
        <v>0</v>
      </c>
      <c r="W8">
        <v>0</v>
      </c>
      <c r="X8">
        <v>0</v>
      </c>
      <c r="Y8">
        <v>0</v>
      </c>
      <c r="Z8">
        <v>0</v>
      </c>
    </row>
    <row r="9" spans="1:26" x14ac:dyDescent="0.3">
      <c r="A9" s="1">
        <v>45816</v>
      </c>
      <c r="B9" s="1" t="s">
        <v>26</v>
      </c>
      <c r="C9">
        <v>114</v>
      </c>
      <c r="D9">
        <v>0</v>
      </c>
      <c r="E9">
        <f t="shared" si="0"/>
        <v>114</v>
      </c>
      <c r="F9">
        <f t="shared" si="1"/>
        <v>0</v>
      </c>
      <c r="G9">
        <v>0</v>
      </c>
      <c r="H9">
        <v>0</v>
      </c>
      <c r="I9">
        <v>0</v>
      </c>
      <c r="J9">
        <v>6</v>
      </c>
      <c r="K9">
        <v>1</v>
      </c>
      <c r="L9">
        <v>0</v>
      </c>
      <c r="M9" s="2">
        <v>0</v>
      </c>
      <c r="N9">
        <v>0</v>
      </c>
      <c r="O9">
        <v>0</v>
      </c>
      <c r="P9">
        <v>0</v>
      </c>
      <c r="Q9">
        <v>0</v>
      </c>
      <c r="S9">
        <v>0</v>
      </c>
      <c r="T9">
        <v>0</v>
      </c>
      <c r="U9">
        <v>0</v>
      </c>
      <c r="V9">
        <v>0</v>
      </c>
      <c r="W9">
        <v>0</v>
      </c>
      <c r="X9">
        <v>0</v>
      </c>
      <c r="Y9">
        <v>0</v>
      </c>
      <c r="Z9">
        <v>0</v>
      </c>
    </row>
    <row r="10" spans="1:26" x14ac:dyDescent="0.3">
      <c r="A10" s="1">
        <v>45817</v>
      </c>
      <c r="B10" s="1" t="s">
        <v>26</v>
      </c>
      <c r="C10">
        <v>114</v>
      </c>
      <c r="D10">
        <v>0</v>
      </c>
      <c r="E10">
        <f t="shared" si="0"/>
        <v>114</v>
      </c>
      <c r="F10">
        <f t="shared" si="1"/>
        <v>0</v>
      </c>
      <c r="G10">
        <v>0</v>
      </c>
      <c r="H10">
        <v>0</v>
      </c>
      <c r="I10">
        <v>0</v>
      </c>
      <c r="J10">
        <v>41</v>
      </c>
      <c r="K10">
        <v>0</v>
      </c>
      <c r="L10">
        <v>0</v>
      </c>
      <c r="M10" s="2">
        <v>0</v>
      </c>
      <c r="N10">
        <v>0</v>
      </c>
      <c r="O10">
        <v>0</v>
      </c>
      <c r="P10">
        <v>0</v>
      </c>
      <c r="Q10">
        <v>0</v>
      </c>
      <c r="S10">
        <v>0</v>
      </c>
      <c r="T10">
        <v>0</v>
      </c>
      <c r="U10">
        <v>0</v>
      </c>
      <c r="V10">
        <v>0</v>
      </c>
      <c r="W10">
        <v>0</v>
      </c>
      <c r="X10">
        <v>0</v>
      </c>
      <c r="Y10">
        <v>0</v>
      </c>
      <c r="Z10">
        <v>0</v>
      </c>
    </row>
    <row r="11" spans="1:26" x14ac:dyDescent="0.3">
      <c r="A11" s="1">
        <v>45818</v>
      </c>
      <c r="B11" s="1" t="s">
        <v>26</v>
      </c>
      <c r="C11">
        <v>114</v>
      </c>
      <c r="D11">
        <v>0</v>
      </c>
      <c r="E11">
        <f t="shared" si="0"/>
        <v>114</v>
      </c>
      <c r="F11">
        <f t="shared" si="1"/>
        <v>0</v>
      </c>
      <c r="G11">
        <v>0</v>
      </c>
      <c r="H11">
        <v>0</v>
      </c>
      <c r="I11">
        <v>0</v>
      </c>
      <c r="J11">
        <v>4</v>
      </c>
      <c r="K11">
        <v>0</v>
      </c>
      <c r="L11">
        <v>0</v>
      </c>
      <c r="M11" s="2">
        <v>0</v>
      </c>
      <c r="N11">
        <v>0</v>
      </c>
      <c r="O11">
        <v>0</v>
      </c>
      <c r="P11">
        <v>0</v>
      </c>
      <c r="Q11">
        <v>0</v>
      </c>
      <c r="S11">
        <v>0</v>
      </c>
      <c r="T11">
        <v>0</v>
      </c>
      <c r="U11">
        <v>0</v>
      </c>
      <c r="V11">
        <v>0</v>
      </c>
      <c r="W11">
        <v>0</v>
      </c>
      <c r="X11">
        <v>0</v>
      </c>
      <c r="Y11">
        <v>0</v>
      </c>
      <c r="Z11">
        <v>0</v>
      </c>
    </row>
    <row r="12" spans="1:26" x14ac:dyDescent="0.3">
      <c r="A12" s="1">
        <v>45819</v>
      </c>
      <c r="B12" s="1" t="s">
        <v>26</v>
      </c>
      <c r="C12">
        <v>114</v>
      </c>
      <c r="D12">
        <v>0</v>
      </c>
      <c r="E12">
        <f t="shared" si="0"/>
        <v>114</v>
      </c>
      <c r="F12">
        <f t="shared" si="1"/>
        <v>0</v>
      </c>
      <c r="G12">
        <v>0</v>
      </c>
      <c r="H12">
        <v>0</v>
      </c>
      <c r="I12">
        <v>0</v>
      </c>
      <c r="J12">
        <v>31</v>
      </c>
      <c r="K12">
        <v>0</v>
      </c>
      <c r="L12">
        <v>0</v>
      </c>
      <c r="M12" s="2">
        <v>0</v>
      </c>
      <c r="N12">
        <v>0</v>
      </c>
      <c r="O12">
        <v>0</v>
      </c>
      <c r="P12">
        <v>0</v>
      </c>
      <c r="Q12">
        <v>0</v>
      </c>
      <c r="S12">
        <v>0</v>
      </c>
      <c r="T12">
        <v>0</v>
      </c>
      <c r="U12">
        <v>0</v>
      </c>
      <c r="V12">
        <v>0</v>
      </c>
      <c r="W12">
        <v>0</v>
      </c>
      <c r="X12">
        <v>0</v>
      </c>
      <c r="Y12">
        <v>0</v>
      </c>
      <c r="Z12">
        <v>0</v>
      </c>
    </row>
    <row r="13" spans="1:26" x14ac:dyDescent="0.3">
      <c r="A13" s="1">
        <v>45820</v>
      </c>
      <c r="B13" s="1" t="s">
        <v>26</v>
      </c>
      <c r="C13">
        <v>114</v>
      </c>
      <c r="D13">
        <v>0</v>
      </c>
      <c r="E13">
        <f t="shared" si="0"/>
        <v>114</v>
      </c>
      <c r="F13">
        <f t="shared" si="1"/>
        <v>0</v>
      </c>
      <c r="G13">
        <v>0</v>
      </c>
      <c r="H13">
        <v>0</v>
      </c>
      <c r="I13">
        <v>0</v>
      </c>
      <c r="J13">
        <v>2</v>
      </c>
      <c r="K13">
        <v>0</v>
      </c>
      <c r="L13">
        <v>0</v>
      </c>
      <c r="M13" s="2">
        <v>0</v>
      </c>
      <c r="N13">
        <v>0</v>
      </c>
      <c r="O13">
        <v>0</v>
      </c>
      <c r="P13">
        <v>0</v>
      </c>
      <c r="Q13">
        <v>0</v>
      </c>
      <c r="S13">
        <v>0</v>
      </c>
      <c r="T13">
        <v>0</v>
      </c>
      <c r="U13">
        <v>0</v>
      </c>
      <c r="V13">
        <v>0</v>
      </c>
      <c r="W13">
        <v>0</v>
      </c>
      <c r="X13">
        <v>0</v>
      </c>
      <c r="Y13">
        <v>0</v>
      </c>
      <c r="Z13">
        <v>0</v>
      </c>
    </row>
    <row r="14" spans="1:26" x14ac:dyDescent="0.3">
      <c r="A14" s="1">
        <v>45821</v>
      </c>
      <c r="B14" s="1" t="s">
        <v>26</v>
      </c>
      <c r="C14">
        <v>114</v>
      </c>
      <c r="D14">
        <v>0</v>
      </c>
      <c r="E14">
        <f t="shared" si="0"/>
        <v>114</v>
      </c>
      <c r="F14">
        <f t="shared" si="1"/>
        <v>0</v>
      </c>
      <c r="G14">
        <v>0</v>
      </c>
      <c r="H14">
        <v>0</v>
      </c>
      <c r="I14">
        <v>0</v>
      </c>
      <c r="J14">
        <v>8</v>
      </c>
      <c r="K14">
        <v>1</v>
      </c>
      <c r="L14">
        <v>0</v>
      </c>
      <c r="M14" s="2">
        <v>0</v>
      </c>
      <c r="N14">
        <v>0</v>
      </c>
      <c r="O14">
        <v>0</v>
      </c>
      <c r="P14">
        <v>0</v>
      </c>
      <c r="Q14">
        <v>0</v>
      </c>
      <c r="S14">
        <v>0</v>
      </c>
      <c r="T14">
        <v>0</v>
      </c>
      <c r="U14">
        <v>0</v>
      </c>
      <c r="V14">
        <v>0</v>
      </c>
      <c r="W14">
        <v>0</v>
      </c>
      <c r="X14">
        <v>0</v>
      </c>
      <c r="Y14">
        <v>0</v>
      </c>
      <c r="Z14">
        <v>0</v>
      </c>
    </row>
    <row r="15" spans="1:26" x14ac:dyDescent="0.3">
      <c r="A15" s="1">
        <v>45822</v>
      </c>
      <c r="B15" s="1" t="s">
        <v>26</v>
      </c>
      <c r="C15">
        <v>114</v>
      </c>
      <c r="D15">
        <v>0</v>
      </c>
      <c r="E15">
        <f t="shared" si="0"/>
        <v>114</v>
      </c>
      <c r="F15">
        <f t="shared" si="1"/>
        <v>0</v>
      </c>
      <c r="G15">
        <v>0</v>
      </c>
      <c r="H15">
        <v>0</v>
      </c>
      <c r="I15">
        <v>0</v>
      </c>
      <c r="J15">
        <v>2</v>
      </c>
      <c r="K15">
        <v>0</v>
      </c>
      <c r="L15">
        <v>0</v>
      </c>
      <c r="M15" s="2">
        <v>0</v>
      </c>
      <c r="N15">
        <v>0</v>
      </c>
      <c r="O15">
        <v>0</v>
      </c>
      <c r="P15">
        <v>0</v>
      </c>
      <c r="Q15">
        <v>0</v>
      </c>
      <c r="S15">
        <v>0</v>
      </c>
      <c r="T15">
        <v>0</v>
      </c>
      <c r="U15">
        <v>0</v>
      </c>
      <c r="V15">
        <v>0</v>
      </c>
      <c r="W15">
        <v>0</v>
      </c>
      <c r="X15">
        <v>0</v>
      </c>
      <c r="Y15">
        <v>0</v>
      </c>
      <c r="Z15">
        <v>0</v>
      </c>
    </row>
    <row r="16" spans="1:26" x14ac:dyDescent="0.3">
      <c r="A16" s="1">
        <v>45823</v>
      </c>
      <c r="B16" s="1" t="s">
        <v>26</v>
      </c>
      <c r="C16">
        <v>114</v>
      </c>
      <c r="D16">
        <v>0</v>
      </c>
      <c r="E16">
        <f t="shared" si="0"/>
        <v>114</v>
      </c>
      <c r="F16">
        <f t="shared" si="1"/>
        <v>0</v>
      </c>
      <c r="G16">
        <v>0</v>
      </c>
      <c r="H16">
        <v>0</v>
      </c>
      <c r="I16">
        <v>0</v>
      </c>
      <c r="J16">
        <v>1</v>
      </c>
      <c r="K16">
        <v>0</v>
      </c>
      <c r="L16">
        <v>0</v>
      </c>
      <c r="M16" s="2">
        <v>0</v>
      </c>
      <c r="N16">
        <v>0</v>
      </c>
      <c r="O16">
        <v>0</v>
      </c>
      <c r="P16">
        <v>0</v>
      </c>
      <c r="Q16">
        <v>0</v>
      </c>
      <c r="S16">
        <v>0</v>
      </c>
      <c r="T16">
        <v>0</v>
      </c>
      <c r="U16">
        <v>0</v>
      </c>
      <c r="V16">
        <v>0</v>
      </c>
      <c r="W16">
        <v>0</v>
      </c>
      <c r="X16">
        <v>0</v>
      </c>
      <c r="Y16">
        <v>0</v>
      </c>
      <c r="Z16">
        <v>0</v>
      </c>
    </row>
    <row r="17" spans="1:26" x14ac:dyDescent="0.3">
      <c r="A17" s="1">
        <v>45824</v>
      </c>
      <c r="B17" s="1" t="s">
        <v>26</v>
      </c>
      <c r="C17">
        <v>114</v>
      </c>
      <c r="D17">
        <v>0</v>
      </c>
      <c r="E17">
        <f t="shared" si="0"/>
        <v>114</v>
      </c>
      <c r="F17">
        <f t="shared" si="1"/>
        <v>0</v>
      </c>
      <c r="G17">
        <v>0</v>
      </c>
      <c r="H17">
        <v>0</v>
      </c>
      <c r="I17">
        <v>0</v>
      </c>
      <c r="J17">
        <v>19</v>
      </c>
      <c r="K17">
        <v>1</v>
      </c>
      <c r="L17">
        <v>0</v>
      </c>
      <c r="M17" s="2">
        <v>0</v>
      </c>
      <c r="N17">
        <v>0</v>
      </c>
      <c r="O17">
        <v>0</v>
      </c>
      <c r="P17">
        <v>0</v>
      </c>
      <c r="Q17">
        <v>0</v>
      </c>
      <c r="S17">
        <v>0</v>
      </c>
      <c r="T17">
        <v>0</v>
      </c>
      <c r="U17">
        <v>0</v>
      </c>
      <c r="V17">
        <v>0</v>
      </c>
      <c r="W17">
        <v>0</v>
      </c>
      <c r="X17">
        <v>0</v>
      </c>
      <c r="Y17">
        <v>0</v>
      </c>
      <c r="Z17">
        <v>0</v>
      </c>
    </row>
    <row r="18" spans="1:26" x14ac:dyDescent="0.3">
      <c r="A18" s="1">
        <v>45825</v>
      </c>
      <c r="B18" s="1" t="s">
        <v>26</v>
      </c>
      <c r="C18">
        <v>114</v>
      </c>
      <c r="D18">
        <v>0</v>
      </c>
      <c r="E18">
        <f t="shared" si="0"/>
        <v>114</v>
      </c>
      <c r="F18">
        <f t="shared" si="1"/>
        <v>0</v>
      </c>
      <c r="G18">
        <v>0</v>
      </c>
      <c r="H18">
        <v>0</v>
      </c>
      <c r="I18">
        <v>0</v>
      </c>
      <c r="J18">
        <v>3</v>
      </c>
      <c r="K18">
        <v>0</v>
      </c>
      <c r="L18">
        <v>0</v>
      </c>
      <c r="M18" s="2">
        <v>0</v>
      </c>
      <c r="N18">
        <v>0</v>
      </c>
      <c r="O18">
        <v>0</v>
      </c>
      <c r="P18">
        <v>0</v>
      </c>
      <c r="Q18">
        <v>0</v>
      </c>
      <c r="S18">
        <v>0</v>
      </c>
      <c r="T18">
        <v>0</v>
      </c>
      <c r="U18">
        <v>0</v>
      </c>
      <c r="V18">
        <v>0</v>
      </c>
      <c r="W18">
        <v>0</v>
      </c>
      <c r="X18">
        <v>0</v>
      </c>
      <c r="Y18">
        <v>0</v>
      </c>
      <c r="Z18">
        <v>0</v>
      </c>
    </row>
    <row r="19" spans="1:26" x14ac:dyDescent="0.3">
      <c r="A19" s="1">
        <v>45826</v>
      </c>
      <c r="B19" s="1" t="s">
        <v>26</v>
      </c>
      <c r="C19">
        <v>115</v>
      </c>
      <c r="D19">
        <v>1</v>
      </c>
      <c r="E19">
        <f t="shared" si="0"/>
        <v>116</v>
      </c>
      <c r="F19">
        <f t="shared" si="1"/>
        <v>0.86956521739130432</v>
      </c>
      <c r="G19">
        <v>1</v>
      </c>
      <c r="H19">
        <v>1</v>
      </c>
      <c r="I19">
        <v>0</v>
      </c>
      <c r="J19">
        <v>31</v>
      </c>
      <c r="K19">
        <v>0</v>
      </c>
      <c r="L19">
        <v>2</v>
      </c>
      <c r="M19" s="3">
        <v>6.4500000000000002E-2</v>
      </c>
      <c r="N19">
        <v>1</v>
      </c>
      <c r="O19">
        <v>0</v>
      </c>
      <c r="P19">
        <v>0</v>
      </c>
      <c r="Q19">
        <v>0</v>
      </c>
      <c r="S19">
        <v>1</v>
      </c>
      <c r="T19">
        <v>1</v>
      </c>
      <c r="U19">
        <v>0</v>
      </c>
      <c r="V19">
        <v>0</v>
      </c>
      <c r="W19">
        <v>0</v>
      </c>
      <c r="X19">
        <v>0</v>
      </c>
      <c r="Y19">
        <v>0</v>
      </c>
      <c r="Z19">
        <v>0</v>
      </c>
    </row>
    <row r="20" spans="1:26" x14ac:dyDescent="0.3">
      <c r="A20" s="1">
        <v>45827</v>
      </c>
      <c r="B20" s="1" t="s">
        <v>26</v>
      </c>
      <c r="C20">
        <v>115</v>
      </c>
      <c r="D20">
        <v>0</v>
      </c>
      <c r="E20">
        <f t="shared" si="0"/>
        <v>115</v>
      </c>
      <c r="F20">
        <f t="shared" si="1"/>
        <v>0</v>
      </c>
      <c r="G20">
        <v>0</v>
      </c>
      <c r="H20">
        <v>0</v>
      </c>
      <c r="I20">
        <v>0</v>
      </c>
      <c r="J20">
        <v>11</v>
      </c>
      <c r="K20">
        <v>0</v>
      </c>
      <c r="L20">
        <v>4</v>
      </c>
      <c r="M20" s="3">
        <v>0.36359999999999998</v>
      </c>
      <c r="N20">
        <v>3</v>
      </c>
      <c r="O20">
        <v>0</v>
      </c>
      <c r="P20">
        <v>0</v>
      </c>
      <c r="Q20">
        <v>1</v>
      </c>
      <c r="S20">
        <v>0</v>
      </c>
      <c r="T20">
        <v>0</v>
      </c>
      <c r="U20">
        <v>0</v>
      </c>
      <c r="V20">
        <v>0</v>
      </c>
      <c r="W20">
        <v>0</v>
      </c>
      <c r="X20">
        <v>0</v>
      </c>
      <c r="Y20">
        <v>0</v>
      </c>
      <c r="Z20">
        <v>0</v>
      </c>
    </row>
    <row r="21" spans="1:26" x14ac:dyDescent="0.3">
      <c r="A21" s="1">
        <v>45828</v>
      </c>
      <c r="B21" s="1" t="s">
        <v>26</v>
      </c>
      <c r="C21">
        <v>115</v>
      </c>
      <c r="D21">
        <v>0</v>
      </c>
      <c r="E21">
        <f t="shared" si="0"/>
        <v>115</v>
      </c>
      <c r="F21">
        <f t="shared" si="1"/>
        <v>0</v>
      </c>
      <c r="G21">
        <v>0</v>
      </c>
      <c r="H21">
        <v>0</v>
      </c>
      <c r="I21">
        <v>0</v>
      </c>
      <c r="J21">
        <v>10</v>
      </c>
      <c r="K21">
        <v>0</v>
      </c>
      <c r="L21">
        <v>1</v>
      </c>
      <c r="M21" s="2">
        <v>0.1</v>
      </c>
      <c r="N21">
        <v>0</v>
      </c>
      <c r="O21">
        <v>0</v>
      </c>
      <c r="P21">
        <v>0</v>
      </c>
      <c r="Q21">
        <v>1</v>
      </c>
      <c r="S21">
        <v>0</v>
      </c>
      <c r="T21">
        <v>0</v>
      </c>
      <c r="U21">
        <v>0</v>
      </c>
      <c r="V21">
        <v>0</v>
      </c>
      <c r="W21">
        <v>0</v>
      </c>
      <c r="X21">
        <v>0</v>
      </c>
      <c r="Y21">
        <v>0</v>
      </c>
      <c r="Z21">
        <v>0</v>
      </c>
    </row>
    <row r="22" spans="1:26" x14ac:dyDescent="0.3">
      <c r="A22" s="1">
        <v>45829</v>
      </c>
      <c r="B22" s="1" t="s">
        <v>26</v>
      </c>
      <c r="C22">
        <v>114</v>
      </c>
      <c r="D22">
        <v>-1</v>
      </c>
      <c r="E22">
        <f t="shared" si="0"/>
        <v>113</v>
      </c>
      <c r="F22">
        <f t="shared" si="1"/>
        <v>-0.8771929824561403</v>
      </c>
      <c r="G22">
        <v>0</v>
      </c>
      <c r="H22">
        <v>0</v>
      </c>
      <c r="I22">
        <v>0</v>
      </c>
      <c r="J22">
        <v>1</v>
      </c>
      <c r="K22">
        <v>0</v>
      </c>
      <c r="L22">
        <v>1</v>
      </c>
      <c r="M22" s="2">
        <v>1</v>
      </c>
      <c r="N22">
        <v>0</v>
      </c>
      <c r="O22">
        <v>0</v>
      </c>
      <c r="P22">
        <v>0</v>
      </c>
      <c r="Q22">
        <v>0</v>
      </c>
      <c r="S22">
        <v>1</v>
      </c>
      <c r="T22">
        <v>0</v>
      </c>
      <c r="U22">
        <v>0</v>
      </c>
      <c r="V22">
        <v>0</v>
      </c>
      <c r="W22">
        <v>0</v>
      </c>
      <c r="X22">
        <v>0</v>
      </c>
      <c r="Y22">
        <v>0</v>
      </c>
      <c r="Z22">
        <v>0</v>
      </c>
    </row>
    <row r="23" spans="1:26" x14ac:dyDescent="0.3">
      <c r="A23" s="1">
        <v>45830</v>
      </c>
      <c r="B23" s="1" t="s">
        <v>26</v>
      </c>
      <c r="C23">
        <v>114</v>
      </c>
      <c r="D23">
        <v>0</v>
      </c>
      <c r="E23">
        <f t="shared" si="0"/>
        <v>114</v>
      </c>
      <c r="F23">
        <f t="shared" si="1"/>
        <v>0</v>
      </c>
      <c r="G23">
        <v>0</v>
      </c>
      <c r="H23">
        <v>0</v>
      </c>
      <c r="I23">
        <v>0</v>
      </c>
      <c r="J23">
        <v>0</v>
      </c>
      <c r="K23">
        <v>0</v>
      </c>
      <c r="L23">
        <v>0</v>
      </c>
      <c r="M23" s="2">
        <v>0</v>
      </c>
      <c r="N23">
        <v>0</v>
      </c>
      <c r="O23">
        <v>0</v>
      </c>
      <c r="P23">
        <v>0</v>
      </c>
      <c r="Q23">
        <v>0</v>
      </c>
      <c r="S23">
        <v>0</v>
      </c>
      <c r="T23">
        <v>0</v>
      </c>
      <c r="U23">
        <v>0</v>
      </c>
      <c r="V23">
        <v>0</v>
      </c>
      <c r="W23">
        <v>0</v>
      </c>
      <c r="X23">
        <v>0</v>
      </c>
      <c r="Y23">
        <v>0</v>
      </c>
      <c r="Z23">
        <v>0</v>
      </c>
    </row>
    <row r="24" spans="1:26" x14ac:dyDescent="0.3">
      <c r="A24" s="1">
        <v>45831</v>
      </c>
      <c r="B24" s="1" t="s">
        <v>26</v>
      </c>
      <c r="C24">
        <v>114</v>
      </c>
      <c r="D24">
        <v>0</v>
      </c>
      <c r="E24">
        <f t="shared" si="0"/>
        <v>114</v>
      </c>
      <c r="F24">
        <f t="shared" si="1"/>
        <v>0</v>
      </c>
      <c r="G24">
        <v>0</v>
      </c>
      <c r="H24">
        <v>0</v>
      </c>
      <c r="I24">
        <v>0</v>
      </c>
      <c r="J24">
        <v>0</v>
      </c>
      <c r="K24">
        <v>0</v>
      </c>
      <c r="L24">
        <v>0</v>
      </c>
      <c r="M24" s="2">
        <v>0</v>
      </c>
      <c r="N24">
        <v>0</v>
      </c>
      <c r="O24">
        <v>0</v>
      </c>
      <c r="P24">
        <v>0</v>
      </c>
      <c r="Q24">
        <v>0</v>
      </c>
      <c r="S24">
        <v>0</v>
      </c>
      <c r="T24">
        <v>0</v>
      </c>
      <c r="U24">
        <v>0</v>
      </c>
      <c r="V24">
        <v>0</v>
      </c>
      <c r="W24">
        <v>0</v>
      </c>
      <c r="X24">
        <v>0</v>
      </c>
      <c r="Y24">
        <v>0</v>
      </c>
      <c r="Z24">
        <v>0</v>
      </c>
    </row>
    <row r="25" spans="1:26" x14ac:dyDescent="0.3">
      <c r="A25" s="1">
        <v>45832</v>
      </c>
      <c r="B25" s="1" t="s">
        <v>26</v>
      </c>
      <c r="C25">
        <v>114</v>
      </c>
      <c r="D25">
        <v>0</v>
      </c>
      <c r="E25">
        <f t="shared" si="0"/>
        <v>114</v>
      </c>
      <c r="F25">
        <f t="shared" si="1"/>
        <v>0</v>
      </c>
      <c r="G25">
        <v>0</v>
      </c>
      <c r="H25">
        <v>0</v>
      </c>
      <c r="I25">
        <v>0</v>
      </c>
      <c r="J25">
        <v>7</v>
      </c>
      <c r="K25">
        <v>3</v>
      </c>
      <c r="L25">
        <v>0</v>
      </c>
      <c r="M25" s="2">
        <v>0</v>
      </c>
      <c r="N25">
        <v>0</v>
      </c>
      <c r="O25">
        <v>0</v>
      </c>
      <c r="P25">
        <v>0</v>
      </c>
      <c r="Q25">
        <v>0</v>
      </c>
      <c r="S25">
        <v>0</v>
      </c>
      <c r="T25">
        <v>0</v>
      </c>
      <c r="U25">
        <v>0</v>
      </c>
      <c r="V25">
        <v>0</v>
      </c>
      <c r="W25">
        <v>0</v>
      </c>
      <c r="X25">
        <v>0</v>
      </c>
      <c r="Y25">
        <v>0</v>
      </c>
      <c r="Z25">
        <v>0</v>
      </c>
    </row>
    <row r="26" spans="1:26" x14ac:dyDescent="0.3">
      <c r="A26" s="1">
        <v>45833</v>
      </c>
      <c r="B26" s="1" t="s">
        <v>26</v>
      </c>
      <c r="C26">
        <v>114</v>
      </c>
      <c r="D26">
        <v>0</v>
      </c>
      <c r="E26">
        <f t="shared" si="0"/>
        <v>114</v>
      </c>
      <c r="F26">
        <f t="shared" si="1"/>
        <v>0</v>
      </c>
      <c r="G26">
        <v>0</v>
      </c>
      <c r="H26">
        <v>0</v>
      </c>
      <c r="I26">
        <v>0</v>
      </c>
      <c r="J26">
        <v>15</v>
      </c>
      <c r="K26">
        <v>0</v>
      </c>
      <c r="L26">
        <v>0</v>
      </c>
      <c r="M26" s="2">
        <v>0</v>
      </c>
      <c r="N26">
        <v>0</v>
      </c>
      <c r="O26">
        <v>0</v>
      </c>
      <c r="P26">
        <v>0</v>
      </c>
      <c r="Q26">
        <v>0</v>
      </c>
      <c r="S26">
        <v>0</v>
      </c>
      <c r="T26">
        <v>0</v>
      </c>
      <c r="U26">
        <v>0</v>
      </c>
      <c r="V26">
        <v>0</v>
      </c>
      <c r="W26">
        <v>0</v>
      </c>
      <c r="X26">
        <v>0</v>
      </c>
      <c r="Y26">
        <v>0</v>
      </c>
      <c r="Z26">
        <v>0</v>
      </c>
    </row>
    <row r="27" spans="1:26" x14ac:dyDescent="0.3">
      <c r="A27" s="1">
        <v>45834</v>
      </c>
      <c r="B27" s="1" t="s">
        <v>26</v>
      </c>
      <c r="C27">
        <v>115</v>
      </c>
      <c r="D27">
        <v>1</v>
      </c>
      <c r="E27">
        <f t="shared" si="0"/>
        <v>116</v>
      </c>
      <c r="F27">
        <f t="shared" si="1"/>
        <v>0.86956521739130432</v>
      </c>
      <c r="G27">
        <v>1</v>
      </c>
      <c r="H27">
        <v>1</v>
      </c>
      <c r="I27">
        <v>1</v>
      </c>
      <c r="J27">
        <v>17</v>
      </c>
      <c r="K27">
        <v>0</v>
      </c>
      <c r="L27">
        <v>3</v>
      </c>
      <c r="M27" s="3">
        <v>0.17649999999999999</v>
      </c>
      <c r="N27">
        <v>1</v>
      </c>
      <c r="O27">
        <v>0</v>
      </c>
      <c r="P27">
        <v>0</v>
      </c>
      <c r="Q27">
        <v>1</v>
      </c>
      <c r="S27">
        <v>1</v>
      </c>
      <c r="T27">
        <v>1</v>
      </c>
      <c r="U27">
        <v>0</v>
      </c>
      <c r="V27">
        <v>0</v>
      </c>
      <c r="W27">
        <v>0</v>
      </c>
      <c r="X27">
        <v>0</v>
      </c>
      <c r="Y27">
        <v>1</v>
      </c>
      <c r="Z27">
        <v>0</v>
      </c>
    </row>
    <row r="28" spans="1:26" x14ac:dyDescent="0.3">
      <c r="A28" s="1">
        <v>45835</v>
      </c>
      <c r="B28" s="1" t="s">
        <v>26</v>
      </c>
      <c r="C28">
        <v>114</v>
      </c>
      <c r="D28">
        <v>-1</v>
      </c>
      <c r="E28">
        <f t="shared" si="0"/>
        <v>113</v>
      </c>
      <c r="F28">
        <f t="shared" si="1"/>
        <v>-0.8771929824561403</v>
      </c>
      <c r="G28">
        <v>0</v>
      </c>
      <c r="H28">
        <v>0</v>
      </c>
      <c r="I28">
        <v>0</v>
      </c>
      <c r="J28">
        <v>18</v>
      </c>
      <c r="K28">
        <v>2</v>
      </c>
      <c r="L28">
        <v>0</v>
      </c>
      <c r="M28" s="2">
        <v>0</v>
      </c>
      <c r="N28">
        <v>0</v>
      </c>
      <c r="O28">
        <v>0</v>
      </c>
      <c r="P28">
        <v>0</v>
      </c>
      <c r="Q28">
        <v>0</v>
      </c>
      <c r="S28">
        <v>0</v>
      </c>
      <c r="T28">
        <v>0</v>
      </c>
      <c r="U28">
        <v>0</v>
      </c>
      <c r="V28">
        <v>0</v>
      </c>
      <c r="W28">
        <v>0</v>
      </c>
      <c r="X28">
        <v>0</v>
      </c>
      <c r="Y28">
        <v>0</v>
      </c>
      <c r="Z28">
        <v>0</v>
      </c>
    </row>
    <row r="29" spans="1:26" x14ac:dyDescent="0.3">
      <c r="A29" s="1">
        <v>45836</v>
      </c>
      <c r="B29" s="1" t="s">
        <v>26</v>
      </c>
      <c r="C29">
        <v>114</v>
      </c>
      <c r="D29">
        <v>0</v>
      </c>
      <c r="E29">
        <f t="shared" si="0"/>
        <v>114</v>
      </c>
      <c r="F29">
        <f t="shared" si="1"/>
        <v>0</v>
      </c>
      <c r="G29">
        <v>0</v>
      </c>
      <c r="H29">
        <v>0</v>
      </c>
      <c r="I29">
        <v>0</v>
      </c>
      <c r="J29">
        <v>0</v>
      </c>
      <c r="K29">
        <v>0</v>
      </c>
      <c r="L29">
        <v>0</v>
      </c>
      <c r="M29" s="2">
        <v>0</v>
      </c>
      <c r="N29">
        <v>0</v>
      </c>
      <c r="O29">
        <v>0</v>
      </c>
      <c r="P29">
        <v>0</v>
      </c>
      <c r="Q29">
        <v>0</v>
      </c>
      <c r="S29">
        <v>0</v>
      </c>
      <c r="T29">
        <v>0</v>
      </c>
      <c r="U29">
        <v>0</v>
      </c>
      <c r="V29">
        <v>0</v>
      </c>
      <c r="W29">
        <v>0</v>
      </c>
      <c r="X29">
        <v>0</v>
      </c>
      <c r="Y29">
        <v>0</v>
      </c>
      <c r="Z29">
        <v>0</v>
      </c>
    </row>
    <row r="30" spans="1:26" x14ac:dyDescent="0.3">
      <c r="A30" s="1">
        <v>45837</v>
      </c>
      <c r="B30" s="1" t="s">
        <v>26</v>
      </c>
      <c r="C30">
        <v>114</v>
      </c>
      <c r="D30">
        <v>0</v>
      </c>
      <c r="E30">
        <f t="shared" si="0"/>
        <v>114</v>
      </c>
      <c r="F30">
        <f t="shared" si="1"/>
        <v>0</v>
      </c>
      <c r="G30">
        <v>0</v>
      </c>
      <c r="H30">
        <v>0</v>
      </c>
      <c r="I30">
        <v>0</v>
      </c>
      <c r="J30">
        <v>0</v>
      </c>
      <c r="K30">
        <v>0</v>
      </c>
      <c r="L30">
        <v>0</v>
      </c>
      <c r="M30" s="2">
        <v>0</v>
      </c>
      <c r="N30">
        <v>0</v>
      </c>
      <c r="O30">
        <v>0</v>
      </c>
      <c r="P30">
        <v>0</v>
      </c>
      <c r="Q30">
        <v>0</v>
      </c>
      <c r="S30">
        <v>0</v>
      </c>
      <c r="T30">
        <v>0</v>
      </c>
      <c r="U30">
        <v>0</v>
      </c>
      <c r="V30">
        <v>0</v>
      </c>
      <c r="W30">
        <v>0</v>
      </c>
      <c r="X30">
        <v>0</v>
      </c>
      <c r="Y30">
        <v>0</v>
      </c>
      <c r="Z30">
        <v>0</v>
      </c>
    </row>
    <row r="31" spans="1:26" x14ac:dyDescent="0.3">
      <c r="A31" s="1">
        <v>45838</v>
      </c>
      <c r="B31" s="1" t="s">
        <v>26</v>
      </c>
      <c r="C31">
        <v>114</v>
      </c>
      <c r="D31">
        <v>0</v>
      </c>
      <c r="E31">
        <f t="shared" si="0"/>
        <v>114</v>
      </c>
      <c r="F31">
        <f t="shared" si="1"/>
        <v>0</v>
      </c>
      <c r="G31">
        <v>0</v>
      </c>
      <c r="H31">
        <v>0</v>
      </c>
      <c r="I31">
        <v>1</v>
      </c>
      <c r="J31">
        <v>3</v>
      </c>
      <c r="K31">
        <v>0</v>
      </c>
      <c r="L31">
        <v>0</v>
      </c>
      <c r="M31" s="2">
        <v>0</v>
      </c>
      <c r="N31">
        <v>0</v>
      </c>
      <c r="O31">
        <v>0</v>
      </c>
      <c r="P31">
        <v>0</v>
      </c>
      <c r="Q31">
        <v>0</v>
      </c>
      <c r="S31">
        <v>0</v>
      </c>
      <c r="T31">
        <v>0</v>
      </c>
      <c r="U31">
        <v>0</v>
      </c>
      <c r="V31">
        <v>0</v>
      </c>
      <c r="W31">
        <v>0</v>
      </c>
      <c r="X31">
        <v>0</v>
      </c>
      <c r="Y31">
        <v>1</v>
      </c>
      <c r="Z31">
        <v>0</v>
      </c>
    </row>
    <row r="32" spans="1:26" x14ac:dyDescent="0.3">
      <c r="A32" s="1">
        <v>45839</v>
      </c>
      <c r="B32" s="1" t="s">
        <v>27</v>
      </c>
      <c r="C32">
        <v>114</v>
      </c>
      <c r="D32">
        <v>0</v>
      </c>
      <c r="E32">
        <f t="shared" si="0"/>
        <v>114</v>
      </c>
      <c r="F32">
        <f t="shared" si="1"/>
        <v>0</v>
      </c>
      <c r="G32">
        <v>0</v>
      </c>
      <c r="H32">
        <v>0</v>
      </c>
      <c r="I32">
        <v>0</v>
      </c>
      <c r="J32">
        <v>11</v>
      </c>
      <c r="K32">
        <v>0</v>
      </c>
      <c r="L32">
        <v>0</v>
      </c>
      <c r="M32" s="2">
        <v>0</v>
      </c>
      <c r="N32">
        <v>0</v>
      </c>
      <c r="O32">
        <v>0</v>
      </c>
      <c r="P32">
        <v>0</v>
      </c>
      <c r="Q32">
        <v>0</v>
      </c>
      <c r="S32">
        <v>0</v>
      </c>
      <c r="T32">
        <v>0</v>
      </c>
      <c r="U32">
        <v>0</v>
      </c>
      <c r="V32">
        <v>0</v>
      </c>
      <c r="W32">
        <v>0</v>
      </c>
      <c r="X32">
        <v>0</v>
      </c>
      <c r="Y32">
        <v>0</v>
      </c>
      <c r="Z32">
        <v>0</v>
      </c>
    </row>
    <row r="33" spans="1:26" x14ac:dyDescent="0.3">
      <c r="A33" s="1">
        <v>45840</v>
      </c>
      <c r="B33" s="1" t="s">
        <v>27</v>
      </c>
      <c r="C33">
        <v>114</v>
      </c>
      <c r="D33">
        <v>0</v>
      </c>
      <c r="E33">
        <f t="shared" si="0"/>
        <v>114</v>
      </c>
      <c r="F33">
        <f t="shared" si="1"/>
        <v>0</v>
      </c>
      <c r="G33">
        <v>0</v>
      </c>
      <c r="H33">
        <v>0</v>
      </c>
      <c r="I33">
        <v>0</v>
      </c>
      <c r="J33">
        <v>8</v>
      </c>
      <c r="K33">
        <v>0</v>
      </c>
      <c r="L33">
        <v>0</v>
      </c>
      <c r="M33" s="2">
        <v>0</v>
      </c>
      <c r="N33">
        <v>0</v>
      </c>
      <c r="O33">
        <v>0</v>
      </c>
      <c r="P33">
        <v>0</v>
      </c>
      <c r="Q33">
        <v>0</v>
      </c>
      <c r="S33">
        <v>0</v>
      </c>
      <c r="T33">
        <v>0</v>
      </c>
      <c r="U33">
        <v>0</v>
      </c>
      <c r="V33">
        <v>0</v>
      </c>
      <c r="W33">
        <v>0</v>
      </c>
      <c r="X33">
        <v>0</v>
      </c>
      <c r="Y33">
        <v>0</v>
      </c>
      <c r="Z33">
        <v>0</v>
      </c>
    </row>
    <row r="34" spans="1:26" x14ac:dyDescent="0.3">
      <c r="A34" s="1">
        <v>45841</v>
      </c>
      <c r="B34" s="1" t="s">
        <v>27</v>
      </c>
      <c r="C34">
        <v>114</v>
      </c>
      <c r="D34">
        <v>0</v>
      </c>
      <c r="E34">
        <f t="shared" si="0"/>
        <v>114</v>
      </c>
      <c r="F34">
        <f t="shared" si="1"/>
        <v>0</v>
      </c>
      <c r="G34">
        <v>0</v>
      </c>
      <c r="H34">
        <v>0</v>
      </c>
      <c r="I34">
        <v>0</v>
      </c>
      <c r="J34">
        <v>7</v>
      </c>
      <c r="K34">
        <v>0</v>
      </c>
      <c r="L34">
        <v>0</v>
      </c>
      <c r="M34" s="2">
        <v>0</v>
      </c>
      <c r="N34">
        <v>0</v>
      </c>
      <c r="O34">
        <v>0</v>
      </c>
      <c r="P34">
        <v>0</v>
      </c>
      <c r="Q34">
        <v>0</v>
      </c>
      <c r="S34">
        <v>0</v>
      </c>
      <c r="T34">
        <v>0</v>
      </c>
      <c r="U34">
        <v>0</v>
      </c>
      <c r="V34">
        <v>0</v>
      </c>
      <c r="W34">
        <v>0</v>
      </c>
      <c r="X34">
        <v>0</v>
      </c>
      <c r="Y34">
        <v>0</v>
      </c>
      <c r="Z34">
        <v>0</v>
      </c>
    </row>
    <row r="35" spans="1:26" x14ac:dyDescent="0.3">
      <c r="A35" s="1">
        <v>45842</v>
      </c>
      <c r="B35" s="1" t="s">
        <v>27</v>
      </c>
      <c r="C35">
        <v>114</v>
      </c>
      <c r="D35">
        <v>0</v>
      </c>
      <c r="E35">
        <f t="shared" si="0"/>
        <v>114</v>
      </c>
      <c r="F35">
        <f t="shared" si="1"/>
        <v>0</v>
      </c>
      <c r="G35">
        <v>0</v>
      </c>
      <c r="H35">
        <v>0</v>
      </c>
      <c r="I35">
        <v>0</v>
      </c>
      <c r="J35">
        <v>0</v>
      </c>
      <c r="K35">
        <v>0</v>
      </c>
      <c r="L35">
        <v>0</v>
      </c>
      <c r="M35" s="2">
        <v>0</v>
      </c>
      <c r="N35">
        <v>0</v>
      </c>
      <c r="O35">
        <v>0</v>
      </c>
      <c r="P35">
        <v>0</v>
      </c>
      <c r="Q35">
        <v>0</v>
      </c>
      <c r="S35">
        <v>0</v>
      </c>
      <c r="T35">
        <v>0</v>
      </c>
      <c r="U35">
        <v>0</v>
      </c>
      <c r="V35">
        <v>0</v>
      </c>
      <c r="W35">
        <v>0</v>
      </c>
      <c r="X35">
        <v>0</v>
      </c>
      <c r="Y35">
        <v>0</v>
      </c>
      <c r="Z35">
        <v>0</v>
      </c>
    </row>
    <row r="36" spans="1:26" x14ac:dyDescent="0.3">
      <c r="A36" s="1">
        <v>45843</v>
      </c>
      <c r="B36" s="1" t="s">
        <v>27</v>
      </c>
      <c r="C36">
        <v>114</v>
      </c>
      <c r="D36">
        <v>0</v>
      </c>
      <c r="E36">
        <f t="shared" si="0"/>
        <v>114</v>
      </c>
      <c r="F36">
        <f t="shared" si="1"/>
        <v>0</v>
      </c>
      <c r="G36">
        <v>0</v>
      </c>
      <c r="H36">
        <v>0</v>
      </c>
      <c r="I36">
        <v>0</v>
      </c>
      <c r="J36">
        <v>5</v>
      </c>
      <c r="K36">
        <v>2</v>
      </c>
      <c r="L36">
        <v>0</v>
      </c>
      <c r="M36" s="2">
        <v>0</v>
      </c>
      <c r="N36">
        <v>0</v>
      </c>
      <c r="O36">
        <v>0</v>
      </c>
      <c r="P36">
        <v>0</v>
      </c>
      <c r="Q36">
        <v>0</v>
      </c>
      <c r="S36">
        <v>0</v>
      </c>
      <c r="T36">
        <v>0</v>
      </c>
      <c r="U36">
        <v>0</v>
      </c>
      <c r="V36">
        <v>0</v>
      </c>
      <c r="W36">
        <v>0</v>
      </c>
      <c r="X36">
        <v>0</v>
      </c>
      <c r="Y36">
        <v>0</v>
      </c>
      <c r="Z36">
        <v>0</v>
      </c>
    </row>
    <row r="37" spans="1:26" x14ac:dyDescent="0.3">
      <c r="A37" s="1">
        <v>45844</v>
      </c>
      <c r="B37" s="1" t="s">
        <v>27</v>
      </c>
      <c r="C37">
        <v>114</v>
      </c>
      <c r="D37">
        <v>0</v>
      </c>
      <c r="E37">
        <f t="shared" si="0"/>
        <v>114</v>
      </c>
      <c r="F37">
        <f t="shared" si="1"/>
        <v>0</v>
      </c>
      <c r="G37">
        <v>0</v>
      </c>
      <c r="H37">
        <v>0</v>
      </c>
      <c r="I37">
        <v>0</v>
      </c>
      <c r="J37">
        <v>6</v>
      </c>
      <c r="K37">
        <v>0</v>
      </c>
      <c r="L37">
        <v>0</v>
      </c>
      <c r="M37" s="2">
        <v>0</v>
      </c>
      <c r="N37">
        <v>0</v>
      </c>
      <c r="O37">
        <v>0</v>
      </c>
      <c r="P37">
        <v>0</v>
      </c>
      <c r="Q37">
        <v>0</v>
      </c>
      <c r="S37">
        <v>0</v>
      </c>
      <c r="T37">
        <v>0</v>
      </c>
      <c r="U37">
        <v>0</v>
      </c>
      <c r="V37">
        <v>0</v>
      </c>
      <c r="W37">
        <v>0</v>
      </c>
      <c r="X37">
        <v>0</v>
      </c>
      <c r="Y37">
        <v>0</v>
      </c>
      <c r="Z37">
        <v>0</v>
      </c>
    </row>
    <row r="38" spans="1:26" x14ac:dyDescent="0.3">
      <c r="A38" s="1">
        <v>45845</v>
      </c>
      <c r="B38" s="1" t="s">
        <v>27</v>
      </c>
      <c r="C38">
        <v>114</v>
      </c>
      <c r="D38">
        <v>0</v>
      </c>
      <c r="E38">
        <f t="shared" si="0"/>
        <v>114</v>
      </c>
      <c r="F38">
        <f t="shared" si="1"/>
        <v>0</v>
      </c>
      <c r="G38">
        <v>0</v>
      </c>
      <c r="H38">
        <v>0</v>
      </c>
      <c r="I38">
        <v>0</v>
      </c>
      <c r="J38">
        <v>13</v>
      </c>
      <c r="K38">
        <v>0</v>
      </c>
      <c r="L38">
        <v>0</v>
      </c>
      <c r="M38" s="2">
        <v>0</v>
      </c>
      <c r="N38">
        <v>0</v>
      </c>
      <c r="O38">
        <v>0</v>
      </c>
      <c r="P38">
        <v>0</v>
      </c>
      <c r="Q38">
        <v>0</v>
      </c>
      <c r="S38">
        <v>0</v>
      </c>
      <c r="T38">
        <v>0</v>
      </c>
      <c r="U38">
        <v>0</v>
      </c>
      <c r="V38">
        <v>0</v>
      </c>
      <c r="W38">
        <v>0</v>
      </c>
      <c r="X38">
        <v>0</v>
      </c>
      <c r="Y38">
        <v>0</v>
      </c>
      <c r="Z38">
        <v>0</v>
      </c>
    </row>
    <row r="39" spans="1:26" x14ac:dyDescent="0.3">
      <c r="A39" s="1">
        <v>45846</v>
      </c>
      <c r="B39" s="1" t="s">
        <v>27</v>
      </c>
      <c r="C39">
        <v>114</v>
      </c>
      <c r="D39">
        <v>0</v>
      </c>
      <c r="E39">
        <f t="shared" si="0"/>
        <v>114</v>
      </c>
      <c r="F39">
        <f t="shared" si="1"/>
        <v>0</v>
      </c>
      <c r="G39">
        <v>0</v>
      </c>
      <c r="H39">
        <v>0</v>
      </c>
      <c r="I39">
        <v>0</v>
      </c>
      <c r="J39">
        <v>23</v>
      </c>
      <c r="K39">
        <v>0</v>
      </c>
      <c r="L39">
        <v>0</v>
      </c>
      <c r="M39" s="2">
        <v>0</v>
      </c>
      <c r="N39">
        <v>0</v>
      </c>
      <c r="O39">
        <v>0</v>
      </c>
      <c r="P39">
        <v>0</v>
      </c>
      <c r="Q39">
        <v>0</v>
      </c>
      <c r="S39">
        <v>0</v>
      </c>
      <c r="T39">
        <v>0</v>
      </c>
      <c r="U39">
        <v>0</v>
      </c>
      <c r="V39">
        <v>0</v>
      </c>
      <c r="W39">
        <v>0</v>
      </c>
      <c r="X39">
        <v>0</v>
      </c>
      <c r="Y39">
        <v>0</v>
      </c>
      <c r="Z39">
        <v>0</v>
      </c>
    </row>
    <row r="40" spans="1:26" x14ac:dyDescent="0.3">
      <c r="A40" s="1">
        <v>45847</v>
      </c>
      <c r="B40" s="1" t="s">
        <v>27</v>
      </c>
      <c r="C40">
        <v>114</v>
      </c>
      <c r="D40">
        <v>0</v>
      </c>
      <c r="E40">
        <f t="shared" si="0"/>
        <v>114</v>
      </c>
      <c r="F40">
        <f t="shared" si="1"/>
        <v>0</v>
      </c>
      <c r="G40">
        <v>0</v>
      </c>
      <c r="H40">
        <v>0</v>
      </c>
      <c r="I40">
        <v>2</v>
      </c>
      <c r="J40">
        <v>16</v>
      </c>
      <c r="K40">
        <v>0</v>
      </c>
      <c r="L40">
        <v>0</v>
      </c>
      <c r="M40" s="2">
        <v>0</v>
      </c>
      <c r="N40">
        <v>0</v>
      </c>
      <c r="O40">
        <v>0</v>
      </c>
      <c r="P40">
        <v>0</v>
      </c>
      <c r="Q40">
        <v>0</v>
      </c>
      <c r="S40">
        <v>0</v>
      </c>
      <c r="T40">
        <v>0</v>
      </c>
      <c r="U40">
        <v>0</v>
      </c>
      <c r="V40">
        <v>0</v>
      </c>
      <c r="W40">
        <v>0</v>
      </c>
      <c r="X40">
        <v>0</v>
      </c>
      <c r="Y40">
        <v>2</v>
      </c>
      <c r="Z40">
        <v>0</v>
      </c>
    </row>
    <row r="41" spans="1:26" x14ac:dyDescent="0.3">
      <c r="A41" s="1">
        <v>45848</v>
      </c>
      <c r="B41" s="1" t="s">
        <v>27</v>
      </c>
      <c r="C41">
        <v>114</v>
      </c>
      <c r="D41">
        <v>0</v>
      </c>
      <c r="E41">
        <f t="shared" si="0"/>
        <v>114</v>
      </c>
      <c r="F41">
        <f t="shared" si="1"/>
        <v>0</v>
      </c>
      <c r="G41">
        <v>1</v>
      </c>
      <c r="H41">
        <v>1</v>
      </c>
      <c r="I41">
        <v>0</v>
      </c>
      <c r="J41">
        <v>25</v>
      </c>
      <c r="K41">
        <v>0</v>
      </c>
      <c r="L41">
        <v>0</v>
      </c>
      <c r="M41" s="2">
        <v>0</v>
      </c>
      <c r="N41">
        <v>0</v>
      </c>
      <c r="O41">
        <v>0</v>
      </c>
      <c r="P41">
        <v>0</v>
      </c>
      <c r="Q41">
        <v>0</v>
      </c>
      <c r="S41">
        <v>0</v>
      </c>
      <c r="T41">
        <v>1</v>
      </c>
      <c r="U41">
        <v>0</v>
      </c>
      <c r="V41">
        <v>0</v>
      </c>
      <c r="W41">
        <v>0</v>
      </c>
      <c r="X41">
        <v>0</v>
      </c>
      <c r="Y41">
        <v>0</v>
      </c>
      <c r="Z41">
        <v>0</v>
      </c>
    </row>
    <row r="42" spans="1:26" x14ac:dyDescent="0.3">
      <c r="A42" s="1">
        <v>45849</v>
      </c>
      <c r="B42" s="1" t="s">
        <v>27</v>
      </c>
      <c r="C42">
        <v>114</v>
      </c>
      <c r="D42">
        <v>0</v>
      </c>
      <c r="E42">
        <f t="shared" si="0"/>
        <v>114</v>
      </c>
      <c r="F42">
        <f t="shared" si="1"/>
        <v>0</v>
      </c>
      <c r="G42">
        <v>0</v>
      </c>
      <c r="H42">
        <v>0</v>
      </c>
      <c r="I42">
        <v>0</v>
      </c>
      <c r="J42">
        <v>0</v>
      </c>
      <c r="K42">
        <v>0</v>
      </c>
      <c r="L42">
        <v>0</v>
      </c>
      <c r="M42" s="2">
        <v>0</v>
      </c>
      <c r="N42">
        <v>0</v>
      </c>
      <c r="O42">
        <v>0</v>
      </c>
      <c r="P42">
        <v>0</v>
      </c>
      <c r="Q42">
        <v>0</v>
      </c>
      <c r="S42">
        <v>0</v>
      </c>
      <c r="T42">
        <v>0</v>
      </c>
      <c r="U42">
        <v>0</v>
      </c>
      <c r="V42">
        <v>0</v>
      </c>
      <c r="W42">
        <v>0</v>
      </c>
      <c r="X42">
        <v>0</v>
      </c>
      <c r="Y42">
        <v>0</v>
      </c>
      <c r="Z42">
        <v>0</v>
      </c>
    </row>
    <row r="43" spans="1:26" x14ac:dyDescent="0.3">
      <c r="A43" s="1">
        <v>45850</v>
      </c>
      <c r="B43" s="1" t="s">
        <v>27</v>
      </c>
      <c r="C43">
        <v>114</v>
      </c>
      <c r="D43">
        <v>0</v>
      </c>
      <c r="E43">
        <f t="shared" si="0"/>
        <v>114</v>
      </c>
      <c r="F43">
        <f t="shared" si="1"/>
        <v>0</v>
      </c>
      <c r="G43">
        <v>0</v>
      </c>
      <c r="H43">
        <v>0</v>
      </c>
      <c r="I43">
        <v>0</v>
      </c>
      <c r="J43">
        <v>2</v>
      </c>
      <c r="K43">
        <v>0</v>
      </c>
      <c r="L43">
        <v>0</v>
      </c>
      <c r="M43" s="2">
        <v>0</v>
      </c>
      <c r="N43">
        <v>0</v>
      </c>
      <c r="O43">
        <v>0</v>
      </c>
      <c r="P43">
        <v>0</v>
      </c>
      <c r="Q43">
        <v>0</v>
      </c>
      <c r="S43">
        <v>0</v>
      </c>
      <c r="T43">
        <v>0</v>
      </c>
      <c r="U43">
        <v>0</v>
      </c>
      <c r="V43">
        <v>0</v>
      </c>
      <c r="W43">
        <v>0</v>
      </c>
      <c r="X43">
        <v>0</v>
      </c>
      <c r="Y43">
        <v>0</v>
      </c>
      <c r="Z43">
        <v>0</v>
      </c>
    </row>
    <row r="44" spans="1:26" x14ac:dyDescent="0.3">
      <c r="A44" s="1">
        <v>45851</v>
      </c>
      <c r="B44" s="1" t="s">
        <v>27</v>
      </c>
      <c r="C44">
        <v>114</v>
      </c>
      <c r="D44">
        <v>0</v>
      </c>
      <c r="E44">
        <f t="shared" si="0"/>
        <v>114</v>
      </c>
      <c r="F44">
        <f t="shared" si="1"/>
        <v>0</v>
      </c>
      <c r="G44">
        <v>0</v>
      </c>
      <c r="H44">
        <v>0</v>
      </c>
      <c r="I44">
        <v>0</v>
      </c>
      <c r="J44">
        <v>0</v>
      </c>
      <c r="K44">
        <v>0</v>
      </c>
      <c r="L44">
        <v>0</v>
      </c>
      <c r="M44" s="2">
        <v>0</v>
      </c>
      <c r="N44">
        <v>0</v>
      </c>
      <c r="O44">
        <v>0</v>
      </c>
      <c r="P44">
        <v>0</v>
      </c>
      <c r="Q44">
        <v>0</v>
      </c>
      <c r="S44">
        <v>0</v>
      </c>
      <c r="T44">
        <v>0</v>
      </c>
      <c r="U44">
        <v>0</v>
      </c>
      <c r="V44">
        <v>0</v>
      </c>
      <c r="W44">
        <v>0</v>
      </c>
      <c r="X44">
        <v>0</v>
      </c>
      <c r="Y44">
        <v>0</v>
      </c>
      <c r="Z44">
        <v>0</v>
      </c>
    </row>
    <row r="45" spans="1:26" x14ac:dyDescent="0.3">
      <c r="A45" s="1">
        <v>45852</v>
      </c>
      <c r="B45" s="1" t="s">
        <v>27</v>
      </c>
      <c r="C45">
        <v>114</v>
      </c>
      <c r="D45">
        <v>0</v>
      </c>
      <c r="E45">
        <f t="shared" si="0"/>
        <v>114</v>
      </c>
      <c r="F45">
        <f t="shared" si="1"/>
        <v>0</v>
      </c>
      <c r="G45">
        <v>0</v>
      </c>
      <c r="H45">
        <v>0</v>
      </c>
      <c r="I45">
        <v>0</v>
      </c>
      <c r="J45">
        <v>4</v>
      </c>
      <c r="K45">
        <v>0</v>
      </c>
      <c r="L45">
        <v>0</v>
      </c>
      <c r="M45" s="2">
        <v>0</v>
      </c>
      <c r="N45">
        <v>0</v>
      </c>
      <c r="O45">
        <v>0</v>
      </c>
      <c r="P45">
        <v>0</v>
      </c>
      <c r="Q45">
        <v>0</v>
      </c>
      <c r="S45">
        <v>0</v>
      </c>
      <c r="T45">
        <v>0</v>
      </c>
      <c r="U45">
        <v>0</v>
      </c>
      <c r="V45">
        <v>0</v>
      </c>
      <c r="W45">
        <v>0</v>
      </c>
      <c r="X45">
        <v>0</v>
      </c>
      <c r="Y45">
        <v>0</v>
      </c>
      <c r="Z45">
        <v>0</v>
      </c>
    </row>
    <row r="46" spans="1:26" x14ac:dyDescent="0.3">
      <c r="A46" s="1">
        <v>45853</v>
      </c>
      <c r="B46" s="1" t="s">
        <v>27</v>
      </c>
      <c r="C46">
        <v>114</v>
      </c>
      <c r="D46">
        <v>0</v>
      </c>
      <c r="E46">
        <f t="shared" si="0"/>
        <v>114</v>
      </c>
      <c r="F46">
        <f t="shared" si="1"/>
        <v>0</v>
      </c>
      <c r="G46">
        <v>0</v>
      </c>
      <c r="H46">
        <v>0</v>
      </c>
      <c r="I46">
        <v>0</v>
      </c>
      <c r="J46">
        <v>0</v>
      </c>
      <c r="K46">
        <v>0</v>
      </c>
      <c r="L46">
        <v>0</v>
      </c>
      <c r="M46" s="2">
        <v>0</v>
      </c>
      <c r="N46">
        <v>0</v>
      </c>
      <c r="O46">
        <v>0</v>
      </c>
      <c r="P46">
        <v>0</v>
      </c>
      <c r="Q46">
        <v>0</v>
      </c>
      <c r="S46">
        <v>0</v>
      </c>
      <c r="T46">
        <v>0</v>
      </c>
      <c r="U46">
        <v>0</v>
      </c>
      <c r="V46">
        <v>0</v>
      </c>
      <c r="W46">
        <v>0</v>
      </c>
      <c r="X46">
        <v>0</v>
      </c>
      <c r="Y46">
        <v>0</v>
      </c>
      <c r="Z46">
        <v>0</v>
      </c>
    </row>
    <row r="47" spans="1:26" x14ac:dyDescent="0.3">
      <c r="A47" s="1">
        <v>45854</v>
      </c>
      <c r="B47" s="1" t="s">
        <v>27</v>
      </c>
      <c r="C47">
        <v>115</v>
      </c>
      <c r="D47">
        <v>1</v>
      </c>
      <c r="E47">
        <f t="shared" si="0"/>
        <v>116</v>
      </c>
      <c r="F47">
        <f t="shared" si="1"/>
        <v>0.86956521739130432</v>
      </c>
      <c r="G47">
        <v>0</v>
      </c>
      <c r="H47">
        <v>0</v>
      </c>
      <c r="I47">
        <v>0</v>
      </c>
      <c r="J47">
        <v>1</v>
      </c>
      <c r="K47">
        <v>0</v>
      </c>
      <c r="L47">
        <v>0</v>
      </c>
      <c r="M47" s="2">
        <v>0</v>
      </c>
      <c r="N47">
        <v>0</v>
      </c>
      <c r="O47">
        <v>0</v>
      </c>
      <c r="P47">
        <v>0</v>
      </c>
      <c r="Q47">
        <v>0</v>
      </c>
      <c r="S47">
        <v>0</v>
      </c>
      <c r="T47">
        <v>0</v>
      </c>
      <c r="U47">
        <v>0</v>
      </c>
      <c r="V47">
        <v>0</v>
      </c>
      <c r="W47">
        <v>0</v>
      </c>
      <c r="X47">
        <v>0</v>
      </c>
      <c r="Y47">
        <v>0</v>
      </c>
      <c r="Z47">
        <v>0</v>
      </c>
    </row>
    <row r="48" spans="1:26" x14ac:dyDescent="0.3">
      <c r="A48" s="1">
        <v>45855</v>
      </c>
      <c r="B48" s="1" t="s">
        <v>27</v>
      </c>
      <c r="C48">
        <v>114</v>
      </c>
      <c r="D48">
        <v>-1</v>
      </c>
      <c r="E48">
        <f t="shared" si="0"/>
        <v>113</v>
      </c>
      <c r="F48">
        <f t="shared" si="1"/>
        <v>-0.8771929824561403</v>
      </c>
      <c r="G48">
        <v>0</v>
      </c>
      <c r="H48">
        <v>0</v>
      </c>
      <c r="I48">
        <v>2</v>
      </c>
      <c r="J48">
        <v>3</v>
      </c>
      <c r="K48">
        <v>0</v>
      </c>
      <c r="L48">
        <v>0</v>
      </c>
      <c r="M48" s="2">
        <v>0</v>
      </c>
      <c r="N48">
        <v>0</v>
      </c>
      <c r="O48">
        <v>0</v>
      </c>
      <c r="P48">
        <v>0</v>
      </c>
      <c r="Q48">
        <v>0</v>
      </c>
      <c r="S48">
        <v>0</v>
      </c>
      <c r="T48">
        <v>0</v>
      </c>
      <c r="U48">
        <v>0</v>
      </c>
      <c r="V48">
        <v>0</v>
      </c>
      <c r="W48">
        <v>0</v>
      </c>
      <c r="X48">
        <v>0</v>
      </c>
      <c r="Y48">
        <v>2</v>
      </c>
      <c r="Z48">
        <v>0</v>
      </c>
    </row>
    <row r="49" spans="1:26" x14ac:dyDescent="0.3">
      <c r="A49" s="1">
        <v>45856</v>
      </c>
      <c r="B49" s="1" t="s">
        <v>27</v>
      </c>
      <c r="C49">
        <v>114</v>
      </c>
      <c r="D49">
        <v>0</v>
      </c>
      <c r="E49">
        <f t="shared" si="0"/>
        <v>114</v>
      </c>
      <c r="F49">
        <f t="shared" si="1"/>
        <v>0</v>
      </c>
      <c r="G49">
        <v>0</v>
      </c>
      <c r="H49">
        <v>0</v>
      </c>
      <c r="I49">
        <v>1</v>
      </c>
      <c r="J49">
        <v>0</v>
      </c>
      <c r="K49">
        <v>0</v>
      </c>
      <c r="L49">
        <v>0</v>
      </c>
      <c r="M49" s="2">
        <v>0</v>
      </c>
      <c r="N49">
        <v>0</v>
      </c>
      <c r="O49">
        <v>0</v>
      </c>
      <c r="P49">
        <v>0</v>
      </c>
      <c r="Q49">
        <v>0</v>
      </c>
      <c r="S49">
        <v>0</v>
      </c>
      <c r="T49">
        <v>0</v>
      </c>
      <c r="U49">
        <v>0</v>
      </c>
      <c r="V49">
        <v>0</v>
      </c>
      <c r="W49">
        <v>0</v>
      </c>
      <c r="X49">
        <v>0</v>
      </c>
      <c r="Y49">
        <v>1</v>
      </c>
      <c r="Z49">
        <v>0</v>
      </c>
    </row>
    <row r="50" spans="1:26" x14ac:dyDescent="0.3">
      <c r="A50" s="1">
        <v>45857</v>
      </c>
      <c r="B50" s="1" t="s">
        <v>27</v>
      </c>
      <c r="C50">
        <v>114</v>
      </c>
      <c r="D50">
        <v>0</v>
      </c>
      <c r="E50">
        <f t="shared" si="0"/>
        <v>114</v>
      </c>
      <c r="F50">
        <f t="shared" si="1"/>
        <v>0</v>
      </c>
      <c r="G50">
        <v>0</v>
      </c>
      <c r="H50">
        <v>0</v>
      </c>
      <c r="I50">
        <v>0</v>
      </c>
      <c r="J50">
        <v>0</v>
      </c>
      <c r="K50">
        <v>0</v>
      </c>
      <c r="L50">
        <v>0</v>
      </c>
      <c r="M50" s="2">
        <v>0</v>
      </c>
      <c r="N50">
        <v>0</v>
      </c>
      <c r="O50">
        <v>0</v>
      </c>
      <c r="P50">
        <v>0</v>
      </c>
      <c r="Q50">
        <v>0</v>
      </c>
      <c r="S50">
        <v>0</v>
      </c>
      <c r="T50">
        <v>0</v>
      </c>
      <c r="U50">
        <v>0</v>
      </c>
      <c r="V50">
        <v>0</v>
      </c>
      <c r="W50">
        <v>0</v>
      </c>
      <c r="X50">
        <v>0</v>
      </c>
      <c r="Y50">
        <v>0</v>
      </c>
      <c r="Z50">
        <v>0</v>
      </c>
    </row>
    <row r="51" spans="1:26" x14ac:dyDescent="0.3">
      <c r="A51" s="1">
        <v>45858</v>
      </c>
      <c r="B51" s="1" t="s">
        <v>27</v>
      </c>
      <c r="C51">
        <v>114</v>
      </c>
      <c r="D51">
        <v>0</v>
      </c>
      <c r="E51">
        <f t="shared" si="0"/>
        <v>114</v>
      </c>
      <c r="F51">
        <f t="shared" si="1"/>
        <v>0</v>
      </c>
      <c r="G51">
        <v>0</v>
      </c>
      <c r="H51">
        <v>0</v>
      </c>
      <c r="I51">
        <v>0</v>
      </c>
      <c r="J51">
        <v>2</v>
      </c>
      <c r="K51">
        <v>0</v>
      </c>
      <c r="L51">
        <v>0</v>
      </c>
      <c r="M51" s="2">
        <v>0</v>
      </c>
      <c r="N51">
        <v>0</v>
      </c>
      <c r="O51">
        <v>0</v>
      </c>
      <c r="P51">
        <v>0</v>
      </c>
      <c r="Q51">
        <v>0</v>
      </c>
      <c r="S51">
        <v>0</v>
      </c>
      <c r="T51">
        <v>0</v>
      </c>
      <c r="U51">
        <v>0</v>
      </c>
      <c r="V51">
        <v>0</v>
      </c>
      <c r="W51">
        <v>0</v>
      </c>
      <c r="X51">
        <v>0</v>
      </c>
      <c r="Y51">
        <v>0</v>
      </c>
      <c r="Z51">
        <v>0</v>
      </c>
    </row>
    <row r="52" spans="1:26" x14ac:dyDescent="0.3">
      <c r="A52" s="1">
        <v>45859</v>
      </c>
      <c r="B52" s="1" t="s">
        <v>27</v>
      </c>
      <c r="C52">
        <v>114</v>
      </c>
      <c r="D52">
        <v>0</v>
      </c>
      <c r="E52">
        <f t="shared" si="0"/>
        <v>114</v>
      </c>
      <c r="F52">
        <f t="shared" si="1"/>
        <v>0</v>
      </c>
      <c r="G52">
        <v>1</v>
      </c>
      <c r="H52" s="7">
        <v>1</v>
      </c>
      <c r="I52">
        <v>0</v>
      </c>
      <c r="J52">
        <v>78</v>
      </c>
      <c r="K52">
        <v>0</v>
      </c>
      <c r="L52">
        <v>0</v>
      </c>
      <c r="M52" s="2">
        <v>0</v>
      </c>
      <c r="N52">
        <v>0</v>
      </c>
      <c r="O52">
        <v>0</v>
      </c>
      <c r="P52">
        <v>0</v>
      </c>
      <c r="Q52">
        <v>0</v>
      </c>
      <c r="S52">
        <v>0</v>
      </c>
      <c r="T52">
        <v>1</v>
      </c>
      <c r="U52">
        <v>0</v>
      </c>
      <c r="V52">
        <v>0</v>
      </c>
      <c r="W52">
        <v>0</v>
      </c>
      <c r="X52">
        <v>0</v>
      </c>
      <c r="Y52">
        <v>0</v>
      </c>
      <c r="Z52">
        <v>0</v>
      </c>
    </row>
    <row r="53" spans="1:26" x14ac:dyDescent="0.3">
      <c r="A53" s="1">
        <v>45860</v>
      </c>
      <c r="B53" s="1" t="s">
        <v>27</v>
      </c>
      <c r="C53">
        <v>115</v>
      </c>
      <c r="D53">
        <v>1</v>
      </c>
      <c r="E53">
        <f t="shared" si="0"/>
        <v>116</v>
      </c>
      <c r="F53">
        <f t="shared" si="1"/>
        <v>0.86956521739130432</v>
      </c>
      <c r="G53">
        <v>0</v>
      </c>
      <c r="H53">
        <v>0</v>
      </c>
      <c r="I53">
        <v>0</v>
      </c>
      <c r="J53">
        <v>321</v>
      </c>
      <c r="K53">
        <v>0</v>
      </c>
      <c r="L53">
        <v>96</v>
      </c>
      <c r="M53" s="3">
        <v>0.29909999999999998</v>
      </c>
      <c r="N53">
        <v>41</v>
      </c>
      <c r="O53">
        <v>7</v>
      </c>
      <c r="P53">
        <v>2</v>
      </c>
      <c r="Q53">
        <v>0</v>
      </c>
      <c r="S53">
        <v>46</v>
      </c>
      <c r="T53">
        <v>0</v>
      </c>
      <c r="U53">
        <v>0</v>
      </c>
      <c r="V53">
        <v>0</v>
      </c>
      <c r="W53">
        <v>0</v>
      </c>
      <c r="X53">
        <v>0</v>
      </c>
      <c r="Y53">
        <v>0</v>
      </c>
      <c r="Z53">
        <v>0</v>
      </c>
    </row>
    <row r="54" spans="1:26" x14ac:dyDescent="0.3">
      <c r="A54" s="1">
        <v>45861</v>
      </c>
      <c r="B54" s="1" t="s">
        <v>27</v>
      </c>
      <c r="C54">
        <v>115</v>
      </c>
      <c r="D54">
        <v>0</v>
      </c>
      <c r="E54">
        <f t="shared" si="0"/>
        <v>115</v>
      </c>
      <c r="F54">
        <f t="shared" si="1"/>
        <v>0</v>
      </c>
      <c r="G54">
        <v>0</v>
      </c>
      <c r="H54">
        <v>0</v>
      </c>
      <c r="I54">
        <v>2</v>
      </c>
      <c r="J54">
        <v>67</v>
      </c>
      <c r="K54">
        <v>0</v>
      </c>
      <c r="L54">
        <v>61</v>
      </c>
      <c r="M54" s="3">
        <v>0.91039999999999999</v>
      </c>
      <c r="N54">
        <v>20</v>
      </c>
      <c r="O54">
        <v>5</v>
      </c>
      <c r="P54">
        <v>0</v>
      </c>
      <c r="Q54">
        <v>0</v>
      </c>
      <c r="S54">
        <v>36</v>
      </c>
      <c r="T54">
        <v>0</v>
      </c>
      <c r="U54">
        <v>0</v>
      </c>
      <c r="V54">
        <v>0</v>
      </c>
      <c r="W54">
        <v>0</v>
      </c>
      <c r="X54">
        <v>0</v>
      </c>
      <c r="Y54">
        <v>2</v>
      </c>
      <c r="Z54">
        <v>0</v>
      </c>
    </row>
    <row r="55" spans="1:26" x14ac:dyDescent="0.3">
      <c r="A55" s="1">
        <v>45862</v>
      </c>
      <c r="B55" s="1" t="s">
        <v>27</v>
      </c>
      <c r="C55">
        <v>115</v>
      </c>
      <c r="D55">
        <v>0</v>
      </c>
      <c r="E55">
        <f t="shared" si="0"/>
        <v>115</v>
      </c>
      <c r="F55">
        <f t="shared" si="1"/>
        <v>0</v>
      </c>
      <c r="G55">
        <v>0</v>
      </c>
      <c r="H55">
        <v>0</v>
      </c>
      <c r="I55">
        <v>0</v>
      </c>
      <c r="J55">
        <v>28</v>
      </c>
      <c r="K55">
        <v>0</v>
      </c>
      <c r="L55">
        <v>7</v>
      </c>
      <c r="M55" s="2">
        <v>0.25</v>
      </c>
      <c r="N55">
        <v>1</v>
      </c>
      <c r="O55">
        <v>2</v>
      </c>
      <c r="P55">
        <v>0</v>
      </c>
      <c r="Q55">
        <v>0</v>
      </c>
      <c r="S55">
        <v>4</v>
      </c>
      <c r="T55">
        <v>0</v>
      </c>
      <c r="U55">
        <v>0</v>
      </c>
      <c r="V55">
        <v>0</v>
      </c>
      <c r="W55">
        <v>0</v>
      </c>
      <c r="X55">
        <v>0</v>
      </c>
      <c r="Y55">
        <v>0</v>
      </c>
      <c r="Z55">
        <v>0</v>
      </c>
    </row>
    <row r="56" spans="1:26" s="7" customFormat="1" x14ac:dyDescent="0.3">
      <c r="A56" s="6">
        <v>45863</v>
      </c>
      <c r="B56" s="6" t="s">
        <v>27</v>
      </c>
      <c r="C56" s="7">
        <v>115</v>
      </c>
      <c r="D56" s="7">
        <v>0</v>
      </c>
      <c r="E56" s="7">
        <f t="shared" si="0"/>
        <v>115</v>
      </c>
      <c r="F56" s="7">
        <f t="shared" si="1"/>
        <v>0</v>
      </c>
      <c r="G56" s="7">
        <v>0</v>
      </c>
      <c r="H56" s="7">
        <v>0</v>
      </c>
      <c r="I56" s="7">
        <v>0</v>
      </c>
      <c r="J56" s="7">
        <v>16</v>
      </c>
      <c r="K56" s="7">
        <v>0</v>
      </c>
      <c r="L56" s="7">
        <v>17</v>
      </c>
      <c r="M56" s="8">
        <v>1.0625</v>
      </c>
      <c r="N56" s="7">
        <v>1</v>
      </c>
      <c r="O56" s="7">
        <v>1</v>
      </c>
      <c r="P56" s="7">
        <v>0</v>
      </c>
      <c r="Q56" s="7">
        <v>0</v>
      </c>
      <c r="S56" s="7">
        <v>15</v>
      </c>
      <c r="T56" s="7">
        <v>0</v>
      </c>
      <c r="U56" s="7">
        <v>0</v>
      </c>
      <c r="V56" s="7">
        <v>0</v>
      </c>
      <c r="W56" s="7">
        <v>0</v>
      </c>
      <c r="X56" s="7">
        <v>0</v>
      </c>
      <c r="Y56" s="7">
        <v>0</v>
      </c>
      <c r="Z56" s="7">
        <v>0</v>
      </c>
    </row>
    <row r="57" spans="1:26" x14ac:dyDescent="0.3">
      <c r="A57" s="1">
        <v>45864</v>
      </c>
      <c r="B57" s="1" t="s">
        <v>27</v>
      </c>
      <c r="C57">
        <v>115</v>
      </c>
      <c r="D57">
        <v>0</v>
      </c>
      <c r="E57">
        <f t="shared" si="0"/>
        <v>115</v>
      </c>
      <c r="F57">
        <f t="shared" si="1"/>
        <v>0</v>
      </c>
      <c r="G57">
        <v>0</v>
      </c>
      <c r="H57">
        <v>0</v>
      </c>
      <c r="I57">
        <v>0</v>
      </c>
      <c r="J57">
        <v>8</v>
      </c>
      <c r="K57">
        <v>0</v>
      </c>
      <c r="L57">
        <v>2</v>
      </c>
      <c r="M57" s="2">
        <v>0.25</v>
      </c>
      <c r="N57">
        <v>2</v>
      </c>
      <c r="O57">
        <v>0</v>
      </c>
      <c r="P57">
        <v>0</v>
      </c>
      <c r="Q57">
        <v>0</v>
      </c>
      <c r="S57">
        <v>0</v>
      </c>
      <c r="T57">
        <v>0</v>
      </c>
      <c r="U57">
        <v>0</v>
      </c>
      <c r="V57">
        <v>0</v>
      </c>
      <c r="W57">
        <v>0</v>
      </c>
      <c r="X57">
        <v>0</v>
      </c>
      <c r="Y57">
        <v>0</v>
      </c>
      <c r="Z57">
        <v>0</v>
      </c>
    </row>
    <row r="58" spans="1:26" x14ac:dyDescent="0.3">
      <c r="A58" s="1">
        <v>45865</v>
      </c>
      <c r="B58" s="1" t="s">
        <v>27</v>
      </c>
      <c r="C58">
        <v>115</v>
      </c>
      <c r="D58">
        <v>0</v>
      </c>
      <c r="E58">
        <f t="shared" si="0"/>
        <v>115</v>
      </c>
      <c r="F58">
        <f t="shared" si="1"/>
        <v>0</v>
      </c>
      <c r="G58">
        <v>0</v>
      </c>
      <c r="H58">
        <v>0</v>
      </c>
      <c r="I58">
        <v>0</v>
      </c>
      <c r="J58">
        <v>7</v>
      </c>
      <c r="K58">
        <v>0</v>
      </c>
      <c r="L58">
        <v>5</v>
      </c>
      <c r="M58" s="3">
        <v>0.71430000000000005</v>
      </c>
      <c r="N58">
        <v>4</v>
      </c>
      <c r="O58">
        <v>0</v>
      </c>
      <c r="P58">
        <v>0</v>
      </c>
      <c r="Q58">
        <v>0</v>
      </c>
      <c r="S58">
        <v>1</v>
      </c>
      <c r="T58">
        <v>0</v>
      </c>
      <c r="U58">
        <v>0</v>
      </c>
      <c r="V58">
        <v>0</v>
      </c>
      <c r="W58">
        <v>0</v>
      </c>
      <c r="X58">
        <v>0</v>
      </c>
      <c r="Y58">
        <v>0</v>
      </c>
      <c r="Z58">
        <v>0</v>
      </c>
    </row>
    <row r="59" spans="1:26" x14ac:dyDescent="0.3">
      <c r="A59" s="1">
        <v>45866</v>
      </c>
      <c r="B59" s="1" t="s">
        <v>27</v>
      </c>
      <c r="C59">
        <v>115</v>
      </c>
      <c r="D59">
        <v>0</v>
      </c>
      <c r="E59">
        <f t="shared" si="0"/>
        <v>115</v>
      </c>
      <c r="F59">
        <f t="shared" si="1"/>
        <v>0</v>
      </c>
      <c r="G59">
        <v>0</v>
      </c>
      <c r="H59">
        <v>0</v>
      </c>
      <c r="I59">
        <v>1</v>
      </c>
      <c r="J59">
        <v>61</v>
      </c>
      <c r="K59">
        <v>0</v>
      </c>
      <c r="L59">
        <v>0</v>
      </c>
      <c r="M59" s="2">
        <v>0</v>
      </c>
      <c r="N59">
        <v>0</v>
      </c>
      <c r="O59">
        <v>0</v>
      </c>
      <c r="P59">
        <v>0</v>
      </c>
      <c r="Q59">
        <v>0</v>
      </c>
      <c r="S59">
        <v>0</v>
      </c>
      <c r="T59">
        <v>0</v>
      </c>
      <c r="U59">
        <v>0</v>
      </c>
      <c r="V59">
        <v>0</v>
      </c>
      <c r="W59">
        <v>0</v>
      </c>
      <c r="X59">
        <v>0</v>
      </c>
      <c r="Y59">
        <v>0</v>
      </c>
      <c r="Z59">
        <v>1</v>
      </c>
    </row>
    <row r="60" spans="1:26" x14ac:dyDescent="0.3">
      <c r="A60" s="1">
        <v>45867</v>
      </c>
      <c r="B60" s="1" t="s">
        <v>27</v>
      </c>
      <c r="C60">
        <v>115</v>
      </c>
      <c r="D60">
        <v>0</v>
      </c>
      <c r="E60">
        <f t="shared" si="0"/>
        <v>115</v>
      </c>
      <c r="F60">
        <f t="shared" si="1"/>
        <v>0</v>
      </c>
      <c r="G60">
        <v>0</v>
      </c>
      <c r="H60">
        <v>0</v>
      </c>
      <c r="I60">
        <v>0</v>
      </c>
      <c r="J60">
        <v>29</v>
      </c>
      <c r="K60">
        <v>1</v>
      </c>
      <c r="L60">
        <v>0</v>
      </c>
      <c r="M60" s="2">
        <v>0</v>
      </c>
      <c r="N60">
        <v>0</v>
      </c>
      <c r="O60">
        <v>0</v>
      </c>
      <c r="P60">
        <v>0</v>
      </c>
      <c r="Q60">
        <v>0</v>
      </c>
      <c r="S60">
        <v>0</v>
      </c>
      <c r="T60">
        <v>0</v>
      </c>
      <c r="U60">
        <v>0</v>
      </c>
      <c r="V60">
        <v>0</v>
      </c>
      <c r="W60">
        <v>0</v>
      </c>
      <c r="X60">
        <v>0</v>
      </c>
      <c r="Y60">
        <v>0</v>
      </c>
      <c r="Z60">
        <v>0</v>
      </c>
    </row>
    <row r="61" spans="1:26" x14ac:dyDescent="0.3">
      <c r="A61" s="1">
        <v>45868</v>
      </c>
      <c r="B61" s="1" t="s">
        <v>27</v>
      </c>
      <c r="C61">
        <v>115</v>
      </c>
      <c r="D61">
        <v>0</v>
      </c>
      <c r="E61">
        <f t="shared" si="0"/>
        <v>115</v>
      </c>
      <c r="F61">
        <f t="shared" si="1"/>
        <v>0</v>
      </c>
      <c r="G61">
        <v>1</v>
      </c>
      <c r="H61">
        <v>1</v>
      </c>
      <c r="I61">
        <v>0</v>
      </c>
      <c r="J61">
        <v>50</v>
      </c>
      <c r="K61">
        <v>0</v>
      </c>
      <c r="L61">
        <v>2</v>
      </c>
      <c r="M61" s="2">
        <v>0.04</v>
      </c>
      <c r="N61">
        <v>1</v>
      </c>
      <c r="O61">
        <v>0</v>
      </c>
      <c r="P61">
        <v>0</v>
      </c>
      <c r="Q61">
        <v>0</v>
      </c>
      <c r="S61">
        <v>1</v>
      </c>
      <c r="T61">
        <v>1</v>
      </c>
      <c r="U61">
        <v>0</v>
      </c>
      <c r="V61">
        <v>0</v>
      </c>
      <c r="W61">
        <v>0</v>
      </c>
      <c r="X61">
        <v>0</v>
      </c>
      <c r="Y61">
        <v>0</v>
      </c>
      <c r="Z61">
        <v>0</v>
      </c>
    </row>
    <row r="62" spans="1:26" s="7" customFormat="1" x14ac:dyDescent="0.3">
      <c r="A62" s="6">
        <v>45869</v>
      </c>
      <c r="B62" s="6" t="s">
        <v>27</v>
      </c>
      <c r="C62" s="7">
        <v>115</v>
      </c>
      <c r="D62" s="7">
        <v>0</v>
      </c>
      <c r="E62" s="7">
        <f t="shared" si="0"/>
        <v>115</v>
      </c>
      <c r="F62" s="7">
        <f t="shared" si="1"/>
        <v>0</v>
      </c>
      <c r="G62" s="7">
        <v>1</v>
      </c>
      <c r="H62" s="7">
        <v>1</v>
      </c>
      <c r="I62" s="7">
        <v>0</v>
      </c>
      <c r="J62" s="7">
        <v>168</v>
      </c>
      <c r="K62" s="7">
        <v>0</v>
      </c>
      <c r="L62" s="7">
        <v>17</v>
      </c>
      <c r="M62" s="8">
        <v>0.1012</v>
      </c>
      <c r="N62" s="7">
        <v>6</v>
      </c>
      <c r="O62" s="7">
        <v>0</v>
      </c>
      <c r="P62" s="7">
        <v>1</v>
      </c>
      <c r="Q62" s="7">
        <v>0</v>
      </c>
      <c r="S62" s="7">
        <v>10</v>
      </c>
      <c r="T62" s="7">
        <v>1</v>
      </c>
      <c r="U62" s="7">
        <v>0</v>
      </c>
      <c r="V62" s="7">
        <v>0</v>
      </c>
      <c r="W62" s="7">
        <v>0</v>
      </c>
      <c r="X62" s="7">
        <v>0</v>
      </c>
      <c r="Y62" s="7">
        <v>0</v>
      </c>
      <c r="Z62" s="7">
        <v>0</v>
      </c>
    </row>
    <row r="63" spans="1:26" x14ac:dyDescent="0.3">
      <c r="A63" s="1">
        <v>45870</v>
      </c>
      <c r="B63" s="1" t="s">
        <v>28</v>
      </c>
      <c r="C63">
        <v>115</v>
      </c>
      <c r="D63">
        <v>0</v>
      </c>
      <c r="E63">
        <f t="shared" si="0"/>
        <v>115</v>
      </c>
      <c r="F63">
        <f t="shared" si="1"/>
        <v>0</v>
      </c>
      <c r="G63">
        <v>0</v>
      </c>
      <c r="H63">
        <v>0</v>
      </c>
      <c r="I63">
        <v>0</v>
      </c>
      <c r="J63">
        <v>31</v>
      </c>
      <c r="K63">
        <v>0</v>
      </c>
      <c r="L63">
        <v>5</v>
      </c>
      <c r="M63" s="3">
        <v>0.1613</v>
      </c>
      <c r="N63">
        <v>1</v>
      </c>
      <c r="O63">
        <v>1</v>
      </c>
      <c r="P63">
        <v>0</v>
      </c>
      <c r="Q63">
        <v>0</v>
      </c>
      <c r="S63">
        <v>3</v>
      </c>
      <c r="T63">
        <v>0</v>
      </c>
      <c r="U63">
        <v>0</v>
      </c>
      <c r="V63">
        <v>0</v>
      </c>
      <c r="W63">
        <v>0</v>
      </c>
      <c r="X63">
        <v>0</v>
      </c>
      <c r="Y63">
        <v>0</v>
      </c>
      <c r="Z63">
        <v>0</v>
      </c>
    </row>
    <row r="64" spans="1:26" x14ac:dyDescent="0.3">
      <c r="A64" s="1">
        <v>45871</v>
      </c>
      <c r="B64" s="1" t="s">
        <v>28</v>
      </c>
      <c r="C64">
        <v>115</v>
      </c>
      <c r="D64">
        <v>0</v>
      </c>
      <c r="E64">
        <f t="shared" si="0"/>
        <v>115</v>
      </c>
      <c r="F64">
        <f t="shared" si="1"/>
        <v>0</v>
      </c>
      <c r="G64">
        <v>0</v>
      </c>
      <c r="H64">
        <v>0</v>
      </c>
      <c r="I64">
        <v>0</v>
      </c>
      <c r="J64">
        <v>22</v>
      </c>
      <c r="K64">
        <v>0</v>
      </c>
      <c r="L64">
        <v>0</v>
      </c>
      <c r="M64" s="2">
        <v>0</v>
      </c>
      <c r="N64">
        <v>0</v>
      </c>
      <c r="O64">
        <v>0</v>
      </c>
      <c r="P64">
        <v>0</v>
      </c>
      <c r="Q64">
        <v>0</v>
      </c>
      <c r="S64">
        <v>0</v>
      </c>
      <c r="T64">
        <v>0</v>
      </c>
      <c r="U64">
        <v>0</v>
      </c>
      <c r="V64">
        <v>0</v>
      </c>
      <c r="W64">
        <v>0</v>
      </c>
      <c r="X64">
        <v>0</v>
      </c>
      <c r="Y64">
        <v>0</v>
      </c>
      <c r="Z64">
        <v>0</v>
      </c>
    </row>
    <row r="65" spans="1:26" x14ac:dyDescent="0.3">
      <c r="A65" s="1">
        <v>45872</v>
      </c>
      <c r="B65" s="1" t="s">
        <v>28</v>
      </c>
      <c r="C65">
        <v>115</v>
      </c>
      <c r="D65">
        <v>0</v>
      </c>
      <c r="E65">
        <f t="shared" si="0"/>
        <v>115</v>
      </c>
      <c r="F65">
        <f t="shared" si="1"/>
        <v>0</v>
      </c>
      <c r="G65">
        <v>0</v>
      </c>
      <c r="H65">
        <v>0</v>
      </c>
      <c r="I65">
        <v>1</v>
      </c>
      <c r="J65">
        <v>19</v>
      </c>
      <c r="K65">
        <v>0</v>
      </c>
      <c r="L65">
        <v>2</v>
      </c>
      <c r="M65" s="3">
        <v>0.1053</v>
      </c>
      <c r="N65">
        <v>0</v>
      </c>
      <c r="O65">
        <v>0</v>
      </c>
      <c r="P65">
        <v>0</v>
      </c>
      <c r="Q65">
        <v>0</v>
      </c>
      <c r="S65">
        <v>2</v>
      </c>
      <c r="T65">
        <v>0</v>
      </c>
      <c r="U65">
        <v>0</v>
      </c>
      <c r="V65">
        <v>0</v>
      </c>
      <c r="W65">
        <v>0</v>
      </c>
      <c r="X65">
        <v>0</v>
      </c>
      <c r="Y65">
        <v>1</v>
      </c>
      <c r="Z65">
        <v>0</v>
      </c>
    </row>
    <row r="66" spans="1:26" x14ac:dyDescent="0.3">
      <c r="A66" s="1">
        <v>45873</v>
      </c>
      <c r="B66" s="1" t="s">
        <v>28</v>
      </c>
      <c r="C66">
        <v>115</v>
      </c>
      <c r="D66">
        <v>0</v>
      </c>
      <c r="E66">
        <f t="shared" si="0"/>
        <v>115</v>
      </c>
      <c r="F66">
        <f t="shared" si="1"/>
        <v>0</v>
      </c>
      <c r="G66">
        <v>0</v>
      </c>
      <c r="H66">
        <v>0</v>
      </c>
      <c r="I66">
        <v>0</v>
      </c>
      <c r="J66">
        <v>17</v>
      </c>
      <c r="K66">
        <v>0</v>
      </c>
      <c r="L66">
        <v>0</v>
      </c>
      <c r="M66" s="2">
        <v>0</v>
      </c>
      <c r="N66">
        <v>0</v>
      </c>
      <c r="O66">
        <v>0</v>
      </c>
      <c r="P66">
        <v>0</v>
      </c>
      <c r="Q66">
        <v>0</v>
      </c>
      <c r="S66">
        <v>0</v>
      </c>
      <c r="T66">
        <v>0</v>
      </c>
      <c r="U66">
        <v>0</v>
      </c>
      <c r="V66">
        <v>0</v>
      </c>
      <c r="W66">
        <v>0</v>
      </c>
      <c r="X66">
        <v>0</v>
      </c>
      <c r="Y66">
        <v>0</v>
      </c>
      <c r="Z66">
        <v>0</v>
      </c>
    </row>
    <row r="67" spans="1:26" x14ac:dyDescent="0.3">
      <c r="A67" s="1">
        <v>45874</v>
      </c>
      <c r="B67" s="1" t="s">
        <v>28</v>
      </c>
      <c r="C67">
        <v>115</v>
      </c>
      <c r="D67">
        <v>0</v>
      </c>
      <c r="E67">
        <f t="shared" ref="E67:E130" si="2">C67+D67</f>
        <v>115</v>
      </c>
      <c r="F67">
        <f t="shared" ref="F67:F130" si="3">(D67/C67)*100</f>
        <v>0</v>
      </c>
      <c r="G67">
        <v>0</v>
      </c>
      <c r="H67">
        <v>0</v>
      </c>
      <c r="I67">
        <v>0</v>
      </c>
      <c r="J67">
        <v>46</v>
      </c>
      <c r="K67">
        <v>0</v>
      </c>
      <c r="L67">
        <v>2</v>
      </c>
      <c r="M67" s="3">
        <v>4.3499999999999997E-2</v>
      </c>
      <c r="N67">
        <v>1</v>
      </c>
      <c r="O67">
        <v>0</v>
      </c>
      <c r="P67">
        <v>0</v>
      </c>
      <c r="Q67">
        <v>0</v>
      </c>
      <c r="S67">
        <v>1</v>
      </c>
      <c r="T67">
        <v>0</v>
      </c>
      <c r="U67">
        <v>0</v>
      </c>
      <c r="V67">
        <v>0</v>
      </c>
      <c r="W67">
        <v>0</v>
      </c>
      <c r="X67">
        <v>0</v>
      </c>
      <c r="Y67">
        <v>0</v>
      </c>
      <c r="Z67">
        <v>0</v>
      </c>
    </row>
    <row r="68" spans="1:26" x14ac:dyDescent="0.3">
      <c r="A68" s="1">
        <v>45875</v>
      </c>
      <c r="B68" s="1" t="s">
        <v>28</v>
      </c>
      <c r="C68">
        <v>115</v>
      </c>
      <c r="D68">
        <v>0</v>
      </c>
      <c r="E68">
        <f t="shared" si="2"/>
        <v>115</v>
      </c>
      <c r="F68">
        <f t="shared" si="3"/>
        <v>0</v>
      </c>
      <c r="G68">
        <v>1</v>
      </c>
      <c r="H68">
        <v>1</v>
      </c>
      <c r="I68">
        <v>0</v>
      </c>
      <c r="J68">
        <v>19</v>
      </c>
      <c r="K68">
        <v>0</v>
      </c>
      <c r="L68">
        <v>1</v>
      </c>
      <c r="M68" s="3">
        <v>5.2600000000000001E-2</v>
      </c>
      <c r="N68">
        <v>0</v>
      </c>
      <c r="O68">
        <v>0</v>
      </c>
      <c r="P68">
        <v>0</v>
      </c>
      <c r="Q68">
        <v>0</v>
      </c>
      <c r="S68">
        <v>1</v>
      </c>
      <c r="T68">
        <v>1</v>
      </c>
      <c r="U68">
        <v>0</v>
      </c>
      <c r="V68">
        <v>0</v>
      </c>
      <c r="W68">
        <v>0</v>
      </c>
      <c r="X68">
        <v>0</v>
      </c>
      <c r="Y68">
        <v>0</v>
      </c>
      <c r="Z68">
        <v>0</v>
      </c>
    </row>
    <row r="69" spans="1:26" x14ac:dyDescent="0.3">
      <c r="A69" s="1">
        <v>45876</v>
      </c>
      <c r="B69" s="1" t="s">
        <v>28</v>
      </c>
      <c r="C69">
        <v>116</v>
      </c>
      <c r="D69">
        <v>1</v>
      </c>
      <c r="E69">
        <f t="shared" si="2"/>
        <v>117</v>
      </c>
      <c r="F69">
        <f t="shared" si="3"/>
        <v>0.86206896551724133</v>
      </c>
      <c r="G69">
        <v>0</v>
      </c>
      <c r="H69">
        <v>0</v>
      </c>
      <c r="I69">
        <v>0</v>
      </c>
      <c r="J69">
        <v>38</v>
      </c>
      <c r="K69">
        <v>0</v>
      </c>
      <c r="L69">
        <v>1</v>
      </c>
      <c r="M69" s="3">
        <v>2.63E-2</v>
      </c>
      <c r="N69">
        <v>1</v>
      </c>
      <c r="O69">
        <v>0</v>
      </c>
      <c r="P69">
        <v>0</v>
      </c>
      <c r="Q69">
        <v>0</v>
      </c>
      <c r="S69">
        <v>0</v>
      </c>
      <c r="T69">
        <v>0</v>
      </c>
      <c r="U69">
        <v>0</v>
      </c>
      <c r="V69">
        <v>0</v>
      </c>
      <c r="W69">
        <v>0</v>
      </c>
      <c r="X69">
        <v>0</v>
      </c>
      <c r="Y69">
        <v>0</v>
      </c>
      <c r="Z69">
        <v>0</v>
      </c>
    </row>
    <row r="70" spans="1:26" x14ac:dyDescent="0.3">
      <c r="A70" s="1">
        <v>45877</v>
      </c>
      <c r="B70" s="1" t="s">
        <v>28</v>
      </c>
      <c r="C70">
        <v>116</v>
      </c>
      <c r="D70">
        <v>0</v>
      </c>
      <c r="E70">
        <f t="shared" si="2"/>
        <v>116</v>
      </c>
      <c r="F70">
        <f t="shared" si="3"/>
        <v>0</v>
      </c>
      <c r="G70">
        <v>0</v>
      </c>
      <c r="H70">
        <v>0</v>
      </c>
      <c r="I70">
        <v>0</v>
      </c>
      <c r="J70">
        <v>6</v>
      </c>
      <c r="K70">
        <v>0</v>
      </c>
      <c r="L70">
        <v>1</v>
      </c>
      <c r="M70" s="3">
        <v>0.16669999999999999</v>
      </c>
      <c r="N70">
        <v>1</v>
      </c>
      <c r="O70">
        <v>0</v>
      </c>
      <c r="P70">
        <v>0</v>
      </c>
      <c r="Q70">
        <v>0</v>
      </c>
      <c r="S70">
        <v>0</v>
      </c>
      <c r="T70">
        <v>0</v>
      </c>
      <c r="U70">
        <v>0</v>
      </c>
      <c r="V70">
        <v>0</v>
      </c>
      <c r="W70">
        <v>0</v>
      </c>
      <c r="X70">
        <v>0</v>
      </c>
      <c r="Y70">
        <v>0</v>
      </c>
      <c r="Z70">
        <v>0</v>
      </c>
    </row>
    <row r="71" spans="1:26" x14ac:dyDescent="0.3">
      <c r="A71" s="1">
        <v>45878</v>
      </c>
      <c r="B71" s="1" t="s">
        <v>28</v>
      </c>
      <c r="C71">
        <v>116</v>
      </c>
      <c r="D71">
        <v>0</v>
      </c>
      <c r="E71">
        <f t="shared" si="2"/>
        <v>116</v>
      </c>
      <c r="F71">
        <f t="shared" si="3"/>
        <v>0</v>
      </c>
      <c r="G71">
        <v>0</v>
      </c>
      <c r="H71">
        <v>0</v>
      </c>
      <c r="I71">
        <v>0</v>
      </c>
      <c r="J71">
        <v>3</v>
      </c>
      <c r="K71">
        <v>0</v>
      </c>
      <c r="L71">
        <v>0</v>
      </c>
      <c r="M71" s="2">
        <v>0</v>
      </c>
      <c r="N71">
        <v>0</v>
      </c>
      <c r="O71">
        <v>0</v>
      </c>
      <c r="P71">
        <v>0</v>
      </c>
      <c r="Q71">
        <v>0</v>
      </c>
      <c r="S71">
        <v>0</v>
      </c>
      <c r="T71">
        <v>0</v>
      </c>
      <c r="U71">
        <v>0</v>
      </c>
      <c r="V71">
        <v>0</v>
      </c>
      <c r="W71">
        <v>0</v>
      </c>
      <c r="X71">
        <v>0</v>
      </c>
      <c r="Y71">
        <v>0</v>
      </c>
      <c r="Z71">
        <v>0</v>
      </c>
    </row>
    <row r="72" spans="1:26" x14ac:dyDescent="0.3">
      <c r="A72" s="1">
        <v>45879</v>
      </c>
      <c r="B72" s="1" t="s">
        <v>28</v>
      </c>
      <c r="C72">
        <v>117</v>
      </c>
      <c r="D72">
        <v>1</v>
      </c>
      <c r="E72">
        <f t="shared" si="2"/>
        <v>118</v>
      </c>
      <c r="F72">
        <f t="shared" si="3"/>
        <v>0.85470085470085477</v>
      </c>
      <c r="G72">
        <v>0</v>
      </c>
      <c r="H72">
        <v>0</v>
      </c>
      <c r="I72">
        <v>0</v>
      </c>
      <c r="J72">
        <v>1</v>
      </c>
      <c r="K72">
        <v>0</v>
      </c>
      <c r="L72">
        <v>0</v>
      </c>
      <c r="M72" s="2">
        <v>0</v>
      </c>
      <c r="N72">
        <v>0</v>
      </c>
      <c r="O72">
        <v>0</v>
      </c>
      <c r="P72">
        <v>0</v>
      </c>
      <c r="Q72">
        <v>0</v>
      </c>
      <c r="S72">
        <v>0</v>
      </c>
      <c r="T72">
        <v>0</v>
      </c>
      <c r="U72">
        <v>0</v>
      </c>
      <c r="V72">
        <v>0</v>
      </c>
      <c r="W72">
        <v>0</v>
      </c>
      <c r="X72">
        <v>0</v>
      </c>
      <c r="Y72">
        <v>0</v>
      </c>
      <c r="Z72">
        <v>0</v>
      </c>
    </row>
    <row r="73" spans="1:26" x14ac:dyDescent="0.3">
      <c r="A73" s="1">
        <v>45880</v>
      </c>
      <c r="B73" s="1" t="s">
        <v>28</v>
      </c>
      <c r="C73">
        <v>117</v>
      </c>
      <c r="D73">
        <v>0</v>
      </c>
      <c r="E73">
        <f t="shared" si="2"/>
        <v>117</v>
      </c>
      <c r="F73">
        <f t="shared" si="3"/>
        <v>0</v>
      </c>
      <c r="G73">
        <v>0</v>
      </c>
      <c r="H73">
        <v>0</v>
      </c>
      <c r="I73">
        <v>1</v>
      </c>
      <c r="J73">
        <v>21</v>
      </c>
      <c r="K73">
        <v>1</v>
      </c>
      <c r="L73">
        <v>2</v>
      </c>
      <c r="M73" s="3">
        <v>9.5200000000000007E-2</v>
      </c>
      <c r="N73">
        <v>2</v>
      </c>
      <c r="O73">
        <v>0</v>
      </c>
      <c r="P73">
        <v>0</v>
      </c>
      <c r="Q73">
        <v>0</v>
      </c>
      <c r="S73">
        <v>0</v>
      </c>
      <c r="T73">
        <v>0</v>
      </c>
      <c r="U73">
        <v>0</v>
      </c>
      <c r="V73">
        <v>0</v>
      </c>
      <c r="W73">
        <v>0</v>
      </c>
      <c r="X73">
        <v>0</v>
      </c>
      <c r="Y73">
        <v>1</v>
      </c>
      <c r="Z73">
        <v>0</v>
      </c>
    </row>
    <row r="74" spans="1:26" x14ac:dyDescent="0.3">
      <c r="A74" s="1">
        <v>45881</v>
      </c>
      <c r="B74" s="1" t="s">
        <v>28</v>
      </c>
      <c r="C74">
        <v>119</v>
      </c>
      <c r="D74">
        <v>2</v>
      </c>
      <c r="E74">
        <f t="shared" si="2"/>
        <v>121</v>
      </c>
      <c r="F74">
        <f t="shared" si="3"/>
        <v>1.680672268907563</v>
      </c>
      <c r="G74">
        <v>0</v>
      </c>
      <c r="H74">
        <v>0</v>
      </c>
      <c r="I74">
        <v>0</v>
      </c>
      <c r="J74">
        <v>43</v>
      </c>
      <c r="K74">
        <v>0</v>
      </c>
      <c r="L74">
        <v>0</v>
      </c>
      <c r="M74" s="2">
        <v>0</v>
      </c>
      <c r="N74">
        <v>0</v>
      </c>
      <c r="O74">
        <v>0</v>
      </c>
      <c r="P74">
        <v>0</v>
      </c>
      <c r="Q74">
        <v>0</v>
      </c>
      <c r="S74">
        <v>0</v>
      </c>
      <c r="T74">
        <v>0</v>
      </c>
      <c r="U74">
        <v>0</v>
      </c>
      <c r="V74">
        <v>0</v>
      </c>
      <c r="W74">
        <v>0</v>
      </c>
      <c r="X74">
        <v>0</v>
      </c>
      <c r="Y74">
        <v>0</v>
      </c>
      <c r="Z74">
        <v>0</v>
      </c>
    </row>
    <row r="75" spans="1:26" x14ac:dyDescent="0.3">
      <c r="A75" s="1">
        <v>45882</v>
      </c>
      <c r="B75" s="1" t="s">
        <v>28</v>
      </c>
      <c r="C75">
        <v>119</v>
      </c>
      <c r="D75">
        <v>0</v>
      </c>
      <c r="E75">
        <f t="shared" si="2"/>
        <v>119</v>
      </c>
      <c r="F75">
        <f t="shared" si="3"/>
        <v>0</v>
      </c>
      <c r="G75">
        <v>0</v>
      </c>
      <c r="H75">
        <v>0</v>
      </c>
      <c r="I75">
        <v>0</v>
      </c>
      <c r="J75">
        <v>13</v>
      </c>
      <c r="K75">
        <v>0</v>
      </c>
      <c r="L75">
        <v>0</v>
      </c>
      <c r="M75" s="2">
        <v>0</v>
      </c>
      <c r="N75">
        <v>0</v>
      </c>
      <c r="O75">
        <v>0</v>
      </c>
      <c r="P75">
        <v>0</v>
      </c>
      <c r="Q75">
        <v>0</v>
      </c>
      <c r="S75">
        <v>0</v>
      </c>
      <c r="T75">
        <v>0</v>
      </c>
      <c r="U75">
        <v>0</v>
      </c>
      <c r="V75">
        <v>0</v>
      </c>
      <c r="W75">
        <v>0</v>
      </c>
      <c r="X75">
        <v>0</v>
      </c>
      <c r="Y75">
        <v>0</v>
      </c>
      <c r="Z75">
        <v>0</v>
      </c>
    </row>
    <row r="76" spans="1:26" x14ac:dyDescent="0.3">
      <c r="A76" s="1">
        <v>45883</v>
      </c>
      <c r="B76" s="1" t="s">
        <v>28</v>
      </c>
      <c r="C76">
        <v>119</v>
      </c>
      <c r="D76">
        <v>0</v>
      </c>
      <c r="E76">
        <f t="shared" si="2"/>
        <v>119</v>
      </c>
      <c r="F76">
        <f t="shared" si="3"/>
        <v>0</v>
      </c>
      <c r="G76">
        <v>1</v>
      </c>
      <c r="H76">
        <v>1</v>
      </c>
      <c r="I76">
        <v>0</v>
      </c>
      <c r="J76">
        <v>12</v>
      </c>
      <c r="K76">
        <v>0</v>
      </c>
      <c r="L76">
        <v>0</v>
      </c>
      <c r="M76" s="2">
        <v>0</v>
      </c>
      <c r="N76">
        <v>0</v>
      </c>
      <c r="O76">
        <v>0</v>
      </c>
      <c r="P76">
        <v>0</v>
      </c>
      <c r="Q76">
        <v>0</v>
      </c>
      <c r="S76">
        <v>0</v>
      </c>
      <c r="T76">
        <v>1</v>
      </c>
      <c r="U76">
        <v>0</v>
      </c>
      <c r="V76">
        <v>0</v>
      </c>
      <c r="W76">
        <v>0</v>
      </c>
      <c r="X76">
        <v>0</v>
      </c>
      <c r="Y76">
        <v>0</v>
      </c>
      <c r="Z76">
        <v>0</v>
      </c>
    </row>
    <row r="77" spans="1:26" x14ac:dyDescent="0.3">
      <c r="A77" s="1">
        <v>45884</v>
      </c>
      <c r="B77" s="1" t="s">
        <v>28</v>
      </c>
      <c r="C77">
        <v>119</v>
      </c>
      <c r="D77">
        <v>0</v>
      </c>
      <c r="E77">
        <f t="shared" si="2"/>
        <v>119</v>
      </c>
      <c r="F77">
        <f t="shared" si="3"/>
        <v>0</v>
      </c>
      <c r="G77">
        <v>0</v>
      </c>
      <c r="H77">
        <v>0</v>
      </c>
      <c r="I77">
        <v>1</v>
      </c>
      <c r="J77">
        <v>7</v>
      </c>
      <c r="K77">
        <v>0</v>
      </c>
      <c r="L77">
        <v>1</v>
      </c>
      <c r="M77" s="3">
        <v>0.1429</v>
      </c>
      <c r="N77">
        <v>1</v>
      </c>
      <c r="O77">
        <v>0</v>
      </c>
      <c r="P77">
        <v>0</v>
      </c>
      <c r="Q77">
        <v>0</v>
      </c>
      <c r="S77">
        <v>0</v>
      </c>
      <c r="T77">
        <v>0</v>
      </c>
      <c r="U77">
        <v>0</v>
      </c>
      <c r="V77">
        <v>0</v>
      </c>
      <c r="W77">
        <v>0</v>
      </c>
      <c r="X77">
        <v>0</v>
      </c>
      <c r="Y77">
        <v>1</v>
      </c>
      <c r="Z77">
        <v>0</v>
      </c>
    </row>
    <row r="78" spans="1:26" x14ac:dyDescent="0.3">
      <c r="A78" s="1">
        <v>45885</v>
      </c>
      <c r="B78" s="1" t="s">
        <v>28</v>
      </c>
      <c r="C78">
        <v>119</v>
      </c>
      <c r="D78">
        <v>0</v>
      </c>
      <c r="E78">
        <f t="shared" si="2"/>
        <v>119</v>
      </c>
      <c r="F78">
        <f t="shared" si="3"/>
        <v>0</v>
      </c>
      <c r="G78">
        <v>0</v>
      </c>
      <c r="H78">
        <v>0</v>
      </c>
      <c r="I78">
        <v>0</v>
      </c>
      <c r="J78">
        <v>10</v>
      </c>
      <c r="K78">
        <v>0</v>
      </c>
      <c r="L78">
        <v>0</v>
      </c>
      <c r="M78" s="2">
        <v>0</v>
      </c>
      <c r="N78">
        <v>0</v>
      </c>
      <c r="O78">
        <v>0</v>
      </c>
      <c r="P78">
        <v>0</v>
      </c>
      <c r="Q78">
        <v>0</v>
      </c>
      <c r="S78">
        <v>0</v>
      </c>
      <c r="T78">
        <v>0</v>
      </c>
      <c r="U78">
        <v>0</v>
      </c>
      <c r="V78">
        <v>0</v>
      </c>
      <c r="W78">
        <v>0</v>
      </c>
      <c r="X78">
        <v>0</v>
      </c>
      <c r="Y78">
        <v>0</v>
      </c>
      <c r="Z78">
        <v>0</v>
      </c>
    </row>
    <row r="79" spans="1:26" x14ac:dyDescent="0.3">
      <c r="A79" s="1">
        <v>45886</v>
      </c>
      <c r="B79" s="1" t="s">
        <v>28</v>
      </c>
      <c r="C79">
        <v>119</v>
      </c>
      <c r="D79">
        <v>0</v>
      </c>
      <c r="E79">
        <f t="shared" si="2"/>
        <v>119</v>
      </c>
      <c r="F79">
        <f t="shared" si="3"/>
        <v>0</v>
      </c>
      <c r="G79">
        <v>0</v>
      </c>
      <c r="H79">
        <v>0</v>
      </c>
      <c r="I79">
        <v>0</v>
      </c>
      <c r="J79">
        <v>13</v>
      </c>
      <c r="K79">
        <v>0</v>
      </c>
      <c r="L79">
        <v>0</v>
      </c>
      <c r="M79" s="2">
        <v>0</v>
      </c>
      <c r="N79">
        <v>0</v>
      </c>
      <c r="O79">
        <v>0</v>
      </c>
      <c r="P79">
        <v>0</v>
      </c>
      <c r="Q79">
        <v>0</v>
      </c>
      <c r="S79">
        <v>0</v>
      </c>
      <c r="T79">
        <v>0</v>
      </c>
      <c r="U79">
        <v>0</v>
      </c>
      <c r="V79">
        <v>0</v>
      </c>
      <c r="W79">
        <v>0</v>
      </c>
      <c r="X79">
        <v>0</v>
      </c>
      <c r="Y79">
        <v>0</v>
      </c>
      <c r="Z79">
        <v>0</v>
      </c>
    </row>
    <row r="80" spans="1:26" x14ac:dyDescent="0.3">
      <c r="A80" s="1">
        <v>45887</v>
      </c>
      <c r="B80" s="1" t="s">
        <v>28</v>
      </c>
      <c r="C80">
        <v>119</v>
      </c>
      <c r="D80">
        <v>0</v>
      </c>
      <c r="E80">
        <f t="shared" si="2"/>
        <v>119</v>
      </c>
      <c r="F80">
        <f t="shared" si="3"/>
        <v>0</v>
      </c>
      <c r="G80">
        <v>0</v>
      </c>
      <c r="H80">
        <v>0</v>
      </c>
      <c r="I80">
        <v>0</v>
      </c>
      <c r="J80">
        <v>2</v>
      </c>
      <c r="K80">
        <v>0</v>
      </c>
      <c r="L80">
        <v>0</v>
      </c>
      <c r="M80" s="2">
        <v>0</v>
      </c>
      <c r="N80">
        <v>0</v>
      </c>
      <c r="O80">
        <v>0</v>
      </c>
      <c r="P80">
        <v>0</v>
      </c>
      <c r="Q80">
        <v>0</v>
      </c>
      <c r="S80">
        <v>0</v>
      </c>
      <c r="T80">
        <v>0</v>
      </c>
      <c r="U80">
        <v>0</v>
      </c>
      <c r="V80">
        <v>0</v>
      </c>
      <c r="W80">
        <v>0</v>
      </c>
      <c r="X80">
        <v>0</v>
      </c>
      <c r="Y80">
        <v>0</v>
      </c>
      <c r="Z80">
        <v>0</v>
      </c>
    </row>
    <row r="81" spans="1:26" x14ac:dyDescent="0.3">
      <c r="A81" s="1">
        <v>45888</v>
      </c>
      <c r="B81" s="1" t="s">
        <v>28</v>
      </c>
      <c r="C81">
        <v>119</v>
      </c>
      <c r="D81">
        <v>0</v>
      </c>
      <c r="E81">
        <f t="shared" si="2"/>
        <v>119</v>
      </c>
      <c r="F81">
        <f t="shared" si="3"/>
        <v>0</v>
      </c>
      <c r="G81">
        <v>0</v>
      </c>
      <c r="H81">
        <v>0</v>
      </c>
      <c r="I81">
        <v>0</v>
      </c>
      <c r="J81">
        <v>9</v>
      </c>
      <c r="K81">
        <v>0</v>
      </c>
      <c r="L81">
        <v>0</v>
      </c>
      <c r="M81" s="2">
        <v>0</v>
      </c>
      <c r="N81">
        <v>0</v>
      </c>
      <c r="O81">
        <v>0</v>
      </c>
      <c r="P81">
        <v>0</v>
      </c>
      <c r="Q81">
        <v>0</v>
      </c>
      <c r="S81">
        <v>0</v>
      </c>
      <c r="T81">
        <v>0</v>
      </c>
      <c r="U81">
        <v>0</v>
      </c>
      <c r="V81">
        <v>0</v>
      </c>
      <c r="W81">
        <v>0</v>
      </c>
      <c r="X81">
        <v>0</v>
      </c>
      <c r="Y81">
        <v>0</v>
      </c>
      <c r="Z81">
        <v>0</v>
      </c>
    </row>
    <row r="82" spans="1:26" x14ac:dyDescent="0.3">
      <c r="A82" s="1">
        <v>45889</v>
      </c>
      <c r="B82" s="1" t="s">
        <v>28</v>
      </c>
      <c r="C82">
        <v>119</v>
      </c>
      <c r="D82">
        <v>0</v>
      </c>
      <c r="E82">
        <f t="shared" si="2"/>
        <v>119</v>
      </c>
      <c r="F82">
        <f t="shared" si="3"/>
        <v>0</v>
      </c>
      <c r="G82">
        <v>0</v>
      </c>
      <c r="H82">
        <v>0</v>
      </c>
      <c r="I82">
        <v>0</v>
      </c>
      <c r="J82">
        <v>17</v>
      </c>
      <c r="K82">
        <v>0</v>
      </c>
      <c r="L82">
        <v>0</v>
      </c>
      <c r="M82" s="2">
        <v>0</v>
      </c>
      <c r="N82">
        <v>0</v>
      </c>
      <c r="O82">
        <v>0</v>
      </c>
      <c r="P82">
        <v>0</v>
      </c>
      <c r="Q82">
        <v>0</v>
      </c>
      <c r="S82">
        <v>0</v>
      </c>
      <c r="T82">
        <v>0</v>
      </c>
      <c r="U82">
        <v>0</v>
      </c>
      <c r="V82">
        <v>0</v>
      </c>
      <c r="W82">
        <v>0</v>
      </c>
      <c r="X82">
        <v>0</v>
      </c>
      <c r="Y82">
        <v>0</v>
      </c>
      <c r="Z82">
        <v>0</v>
      </c>
    </row>
    <row r="83" spans="1:26" x14ac:dyDescent="0.3">
      <c r="A83" s="1">
        <v>45890</v>
      </c>
      <c r="B83" s="1" t="s">
        <v>28</v>
      </c>
      <c r="C83">
        <v>119</v>
      </c>
      <c r="D83">
        <v>0</v>
      </c>
      <c r="E83">
        <f t="shared" si="2"/>
        <v>119</v>
      </c>
      <c r="F83">
        <f t="shared" si="3"/>
        <v>0</v>
      </c>
      <c r="G83">
        <v>0</v>
      </c>
      <c r="H83">
        <v>0</v>
      </c>
      <c r="I83">
        <v>0</v>
      </c>
      <c r="J83">
        <v>40</v>
      </c>
      <c r="K83">
        <v>0</v>
      </c>
      <c r="L83">
        <v>0</v>
      </c>
      <c r="M83" s="2">
        <v>0</v>
      </c>
      <c r="N83">
        <v>0</v>
      </c>
      <c r="O83">
        <v>0</v>
      </c>
      <c r="P83">
        <v>0</v>
      </c>
      <c r="Q83">
        <v>0</v>
      </c>
      <c r="S83">
        <v>0</v>
      </c>
      <c r="T83">
        <v>0</v>
      </c>
      <c r="U83">
        <v>0</v>
      </c>
      <c r="V83">
        <v>0</v>
      </c>
      <c r="W83">
        <v>0</v>
      </c>
      <c r="X83">
        <v>0</v>
      </c>
      <c r="Y83">
        <v>0</v>
      </c>
      <c r="Z83">
        <v>0</v>
      </c>
    </row>
    <row r="84" spans="1:26" x14ac:dyDescent="0.3">
      <c r="A84" s="1">
        <v>45891</v>
      </c>
      <c r="B84" s="1" t="s">
        <v>28</v>
      </c>
      <c r="C84">
        <v>119</v>
      </c>
      <c r="D84">
        <v>0</v>
      </c>
      <c r="E84">
        <f t="shared" si="2"/>
        <v>119</v>
      </c>
      <c r="F84">
        <f t="shared" si="3"/>
        <v>0</v>
      </c>
      <c r="G84">
        <v>0</v>
      </c>
      <c r="H84">
        <v>0</v>
      </c>
      <c r="I84">
        <v>0</v>
      </c>
      <c r="J84">
        <v>1</v>
      </c>
      <c r="K84">
        <v>0</v>
      </c>
      <c r="L84">
        <v>0</v>
      </c>
      <c r="M84" s="2">
        <v>0</v>
      </c>
      <c r="N84">
        <v>0</v>
      </c>
      <c r="O84">
        <v>0</v>
      </c>
      <c r="P84">
        <v>0</v>
      </c>
      <c r="Q84">
        <v>0</v>
      </c>
      <c r="S84">
        <v>0</v>
      </c>
      <c r="T84">
        <v>0</v>
      </c>
      <c r="U84">
        <v>0</v>
      </c>
      <c r="V84">
        <v>0</v>
      </c>
      <c r="W84">
        <v>0</v>
      </c>
      <c r="X84">
        <v>0</v>
      </c>
      <c r="Y84">
        <v>0</v>
      </c>
      <c r="Z84">
        <v>0</v>
      </c>
    </row>
    <row r="85" spans="1:26" x14ac:dyDescent="0.3">
      <c r="A85" s="1">
        <v>45892</v>
      </c>
      <c r="B85" s="1" t="s">
        <v>28</v>
      </c>
      <c r="C85">
        <v>119</v>
      </c>
      <c r="D85">
        <v>0</v>
      </c>
      <c r="E85">
        <f t="shared" si="2"/>
        <v>119</v>
      </c>
      <c r="F85">
        <f t="shared" si="3"/>
        <v>0</v>
      </c>
      <c r="G85">
        <v>0</v>
      </c>
      <c r="H85">
        <v>0</v>
      </c>
      <c r="I85">
        <v>0</v>
      </c>
      <c r="J85">
        <v>15</v>
      </c>
      <c r="K85">
        <v>0</v>
      </c>
      <c r="L85">
        <v>0</v>
      </c>
      <c r="M85" s="2">
        <v>0</v>
      </c>
      <c r="N85">
        <v>0</v>
      </c>
      <c r="O85">
        <v>0</v>
      </c>
      <c r="P85">
        <v>0</v>
      </c>
      <c r="Q85">
        <v>0</v>
      </c>
      <c r="S85">
        <v>0</v>
      </c>
      <c r="T85">
        <v>0</v>
      </c>
      <c r="U85">
        <v>0</v>
      </c>
      <c r="V85">
        <v>0</v>
      </c>
      <c r="W85">
        <v>0</v>
      </c>
      <c r="X85">
        <v>0</v>
      </c>
      <c r="Y85">
        <v>0</v>
      </c>
      <c r="Z85">
        <v>0</v>
      </c>
    </row>
    <row r="86" spans="1:26" x14ac:dyDescent="0.3">
      <c r="A86" s="1">
        <v>45893</v>
      </c>
      <c r="B86" s="1" t="s">
        <v>28</v>
      </c>
      <c r="C86">
        <v>119</v>
      </c>
      <c r="D86">
        <v>0</v>
      </c>
      <c r="E86">
        <f t="shared" si="2"/>
        <v>119</v>
      </c>
      <c r="F86">
        <f t="shared" si="3"/>
        <v>0</v>
      </c>
      <c r="G86">
        <v>0</v>
      </c>
      <c r="H86">
        <v>0</v>
      </c>
      <c r="I86">
        <v>0</v>
      </c>
      <c r="J86">
        <v>0</v>
      </c>
      <c r="K86">
        <v>0</v>
      </c>
      <c r="L86">
        <v>0</v>
      </c>
      <c r="M86" s="2">
        <v>0</v>
      </c>
      <c r="N86">
        <v>0</v>
      </c>
      <c r="O86">
        <v>0</v>
      </c>
      <c r="P86">
        <v>0</v>
      </c>
      <c r="Q86">
        <v>0</v>
      </c>
      <c r="S86">
        <v>0</v>
      </c>
      <c r="T86">
        <v>0</v>
      </c>
      <c r="U86">
        <v>0</v>
      </c>
      <c r="V86">
        <v>0</v>
      </c>
      <c r="W86">
        <v>0</v>
      </c>
      <c r="X86">
        <v>0</v>
      </c>
      <c r="Y86">
        <v>0</v>
      </c>
      <c r="Z86">
        <v>0</v>
      </c>
    </row>
    <row r="87" spans="1:26" x14ac:dyDescent="0.3">
      <c r="A87" s="1">
        <v>45894</v>
      </c>
      <c r="B87" s="1" t="s">
        <v>28</v>
      </c>
      <c r="C87">
        <v>119</v>
      </c>
      <c r="D87">
        <v>0</v>
      </c>
      <c r="E87">
        <f t="shared" si="2"/>
        <v>119</v>
      </c>
      <c r="F87">
        <f t="shared" si="3"/>
        <v>0</v>
      </c>
      <c r="G87">
        <v>0</v>
      </c>
      <c r="H87">
        <v>0</v>
      </c>
      <c r="I87">
        <v>0</v>
      </c>
      <c r="J87">
        <v>19</v>
      </c>
      <c r="K87">
        <v>0</v>
      </c>
      <c r="L87">
        <v>0</v>
      </c>
      <c r="M87" s="2">
        <v>0</v>
      </c>
      <c r="N87">
        <v>0</v>
      </c>
      <c r="O87">
        <v>0</v>
      </c>
      <c r="P87">
        <v>0</v>
      </c>
      <c r="Q87">
        <v>0</v>
      </c>
      <c r="S87">
        <v>0</v>
      </c>
      <c r="T87">
        <v>0</v>
      </c>
      <c r="U87">
        <v>0</v>
      </c>
      <c r="V87">
        <v>0</v>
      </c>
      <c r="W87">
        <v>0</v>
      </c>
      <c r="X87">
        <v>0</v>
      </c>
      <c r="Y87">
        <v>0</v>
      </c>
      <c r="Z87">
        <v>0</v>
      </c>
    </row>
    <row r="88" spans="1:26" x14ac:dyDescent="0.3">
      <c r="A88" s="1">
        <v>45895</v>
      </c>
      <c r="B88" s="1" t="s">
        <v>28</v>
      </c>
      <c r="C88">
        <v>119</v>
      </c>
      <c r="D88">
        <v>0</v>
      </c>
      <c r="E88">
        <f t="shared" si="2"/>
        <v>119</v>
      </c>
      <c r="F88">
        <f t="shared" si="3"/>
        <v>0</v>
      </c>
      <c r="G88">
        <v>0</v>
      </c>
      <c r="H88">
        <v>0</v>
      </c>
      <c r="I88">
        <v>0</v>
      </c>
      <c r="J88">
        <v>11</v>
      </c>
      <c r="K88">
        <v>0</v>
      </c>
      <c r="L88">
        <v>0</v>
      </c>
      <c r="M88" s="2">
        <v>0</v>
      </c>
      <c r="N88">
        <v>0</v>
      </c>
      <c r="O88">
        <v>0</v>
      </c>
      <c r="P88">
        <v>0</v>
      </c>
      <c r="Q88">
        <v>0</v>
      </c>
      <c r="S88">
        <v>0</v>
      </c>
      <c r="T88">
        <v>0</v>
      </c>
      <c r="U88">
        <v>0</v>
      </c>
      <c r="V88">
        <v>0</v>
      </c>
      <c r="W88">
        <v>0</v>
      </c>
      <c r="X88">
        <v>0</v>
      </c>
      <c r="Y88">
        <v>0</v>
      </c>
      <c r="Z88">
        <v>0</v>
      </c>
    </row>
    <row r="89" spans="1:26" x14ac:dyDescent="0.3">
      <c r="A89" s="1">
        <v>45896</v>
      </c>
      <c r="B89" s="1" t="s">
        <v>28</v>
      </c>
      <c r="C89">
        <v>119</v>
      </c>
      <c r="D89">
        <v>0</v>
      </c>
      <c r="E89">
        <f t="shared" si="2"/>
        <v>119</v>
      </c>
      <c r="F89">
        <f t="shared" si="3"/>
        <v>0</v>
      </c>
      <c r="G89">
        <v>0</v>
      </c>
      <c r="H89">
        <v>0</v>
      </c>
      <c r="I89">
        <v>0</v>
      </c>
      <c r="J89">
        <v>16</v>
      </c>
      <c r="K89">
        <v>0</v>
      </c>
      <c r="L89">
        <v>0</v>
      </c>
      <c r="M89" s="2">
        <v>0</v>
      </c>
      <c r="N89">
        <v>0</v>
      </c>
      <c r="O89">
        <v>0</v>
      </c>
      <c r="P89">
        <v>0</v>
      </c>
      <c r="Q89">
        <v>0</v>
      </c>
      <c r="S89">
        <v>0</v>
      </c>
      <c r="T89">
        <v>0</v>
      </c>
      <c r="U89">
        <v>0</v>
      </c>
      <c r="V89">
        <v>0</v>
      </c>
      <c r="W89">
        <v>0</v>
      </c>
      <c r="X89">
        <v>0</v>
      </c>
      <c r="Y89">
        <v>0</v>
      </c>
      <c r="Z89">
        <v>0</v>
      </c>
    </row>
    <row r="90" spans="1:26" x14ac:dyDescent="0.3">
      <c r="A90" s="1">
        <v>45897</v>
      </c>
      <c r="B90" s="1" t="s">
        <v>28</v>
      </c>
      <c r="C90">
        <v>119</v>
      </c>
      <c r="D90">
        <v>0</v>
      </c>
      <c r="E90">
        <f t="shared" si="2"/>
        <v>119</v>
      </c>
      <c r="F90">
        <f t="shared" si="3"/>
        <v>0</v>
      </c>
      <c r="G90">
        <v>0</v>
      </c>
      <c r="H90">
        <v>0</v>
      </c>
      <c r="I90">
        <v>0</v>
      </c>
      <c r="J90">
        <v>20</v>
      </c>
      <c r="K90">
        <v>0</v>
      </c>
      <c r="L90">
        <v>0</v>
      </c>
      <c r="M90" s="2">
        <v>0</v>
      </c>
      <c r="N90">
        <v>0</v>
      </c>
      <c r="O90">
        <v>0</v>
      </c>
      <c r="P90">
        <v>0</v>
      </c>
      <c r="Q90">
        <v>0</v>
      </c>
      <c r="S90">
        <v>0</v>
      </c>
      <c r="T90">
        <v>0</v>
      </c>
      <c r="U90">
        <v>0</v>
      </c>
      <c r="V90">
        <v>0</v>
      </c>
      <c r="W90">
        <v>0</v>
      </c>
      <c r="X90">
        <v>0</v>
      </c>
      <c r="Y90">
        <v>0</v>
      </c>
      <c r="Z90">
        <v>0</v>
      </c>
    </row>
    <row r="91" spans="1:26" x14ac:dyDescent="0.3">
      <c r="A91" s="1">
        <v>45898</v>
      </c>
      <c r="B91" s="1" t="s">
        <v>28</v>
      </c>
      <c r="C91">
        <v>119</v>
      </c>
      <c r="D91">
        <v>0</v>
      </c>
      <c r="E91">
        <f t="shared" si="2"/>
        <v>119</v>
      </c>
      <c r="F91">
        <f t="shared" si="3"/>
        <v>0</v>
      </c>
      <c r="G91">
        <v>0</v>
      </c>
      <c r="H91">
        <v>0</v>
      </c>
      <c r="I91">
        <v>0</v>
      </c>
      <c r="J91">
        <v>2</v>
      </c>
      <c r="K91">
        <v>0</v>
      </c>
      <c r="L91">
        <v>0</v>
      </c>
      <c r="M91" s="2">
        <v>0</v>
      </c>
      <c r="N91">
        <v>0</v>
      </c>
      <c r="O91">
        <v>0</v>
      </c>
      <c r="P91">
        <v>0</v>
      </c>
      <c r="Q91">
        <v>0</v>
      </c>
      <c r="S91">
        <v>0</v>
      </c>
      <c r="T91">
        <v>0</v>
      </c>
      <c r="U91">
        <v>0</v>
      </c>
      <c r="V91">
        <v>0</v>
      </c>
      <c r="W91">
        <v>0</v>
      </c>
      <c r="X91">
        <v>0</v>
      </c>
      <c r="Y91">
        <v>0</v>
      </c>
      <c r="Z91">
        <v>0</v>
      </c>
    </row>
    <row r="92" spans="1:26" x14ac:dyDescent="0.3">
      <c r="A92" s="1">
        <v>45899</v>
      </c>
      <c r="B92" s="1" t="s">
        <v>28</v>
      </c>
      <c r="C92">
        <v>119</v>
      </c>
      <c r="D92">
        <v>0</v>
      </c>
      <c r="E92">
        <f t="shared" si="2"/>
        <v>119</v>
      </c>
      <c r="F92">
        <f t="shared" si="3"/>
        <v>0</v>
      </c>
      <c r="G92">
        <v>0</v>
      </c>
      <c r="H92">
        <v>0</v>
      </c>
      <c r="I92">
        <v>0</v>
      </c>
      <c r="J92">
        <v>6</v>
      </c>
      <c r="K92">
        <v>1</v>
      </c>
      <c r="L92">
        <v>0</v>
      </c>
      <c r="M92" s="2">
        <v>0</v>
      </c>
      <c r="N92">
        <v>0</v>
      </c>
      <c r="O92">
        <v>0</v>
      </c>
      <c r="P92">
        <v>0</v>
      </c>
      <c r="Q92">
        <v>0</v>
      </c>
      <c r="S92">
        <v>0</v>
      </c>
      <c r="T92">
        <v>0</v>
      </c>
      <c r="U92">
        <v>0</v>
      </c>
      <c r="V92">
        <v>0</v>
      </c>
      <c r="W92">
        <v>0</v>
      </c>
      <c r="X92">
        <v>0</v>
      </c>
      <c r="Y92">
        <v>0</v>
      </c>
      <c r="Z92">
        <v>0</v>
      </c>
    </row>
    <row r="93" spans="1:26" x14ac:dyDescent="0.3">
      <c r="A93" s="1">
        <v>45900</v>
      </c>
      <c r="B93" s="1" t="s">
        <v>28</v>
      </c>
      <c r="C93">
        <v>119</v>
      </c>
      <c r="D93">
        <v>0</v>
      </c>
      <c r="E93">
        <f t="shared" si="2"/>
        <v>119</v>
      </c>
      <c r="F93">
        <f t="shared" si="3"/>
        <v>0</v>
      </c>
      <c r="G93">
        <v>0</v>
      </c>
      <c r="H93">
        <v>0</v>
      </c>
      <c r="I93">
        <v>0</v>
      </c>
      <c r="J93">
        <v>0</v>
      </c>
      <c r="K93">
        <v>0</v>
      </c>
      <c r="L93">
        <v>0</v>
      </c>
      <c r="M93" s="2">
        <v>0</v>
      </c>
      <c r="N93">
        <v>0</v>
      </c>
      <c r="O93">
        <v>0</v>
      </c>
      <c r="P93">
        <v>0</v>
      </c>
      <c r="Q93">
        <v>0</v>
      </c>
      <c r="S93">
        <v>0</v>
      </c>
      <c r="T93">
        <v>0</v>
      </c>
      <c r="U93">
        <v>0</v>
      </c>
      <c r="V93">
        <v>0</v>
      </c>
      <c r="W93">
        <v>0</v>
      </c>
      <c r="X93">
        <v>0</v>
      </c>
      <c r="Y93">
        <v>0</v>
      </c>
      <c r="Z93">
        <v>0</v>
      </c>
    </row>
    <row r="94" spans="1:26" x14ac:dyDescent="0.3">
      <c r="A94" s="1">
        <v>45901</v>
      </c>
      <c r="B94" s="1" t="s">
        <v>29</v>
      </c>
      <c r="C94">
        <v>120</v>
      </c>
      <c r="D94">
        <v>1</v>
      </c>
      <c r="E94">
        <f t="shared" si="2"/>
        <v>121</v>
      </c>
      <c r="F94">
        <f t="shared" si="3"/>
        <v>0.83333333333333337</v>
      </c>
      <c r="G94">
        <v>0</v>
      </c>
      <c r="H94">
        <v>0</v>
      </c>
      <c r="I94">
        <v>0</v>
      </c>
      <c r="J94">
        <v>7</v>
      </c>
      <c r="K94">
        <v>0</v>
      </c>
      <c r="L94">
        <v>0</v>
      </c>
      <c r="M94" s="2">
        <v>0</v>
      </c>
      <c r="N94">
        <v>0</v>
      </c>
      <c r="O94">
        <v>0</v>
      </c>
      <c r="P94">
        <v>0</v>
      </c>
      <c r="Q94">
        <v>0</v>
      </c>
      <c r="S94">
        <v>0</v>
      </c>
      <c r="T94">
        <v>0</v>
      </c>
      <c r="U94">
        <v>0</v>
      </c>
      <c r="V94">
        <v>0</v>
      </c>
      <c r="W94">
        <v>0</v>
      </c>
      <c r="X94">
        <v>0</v>
      </c>
      <c r="Y94">
        <v>0</v>
      </c>
      <c r="Z94">
        <v>0</v>
      </c>
    </row>
    <row r="95" spans="1:26" x14ac:dyDescent="0.3">
      <c r="A95" s="1">
        <v>45902</v>
      </c>
      <c r="B95" s="1" t="s">
        <v>29</v>
      </c>
      <c r="C95">
        <v>120</v>
      </c>
      <c r="D95">
        <v>0</v>
      </c>
      <c r="E95">
        <f t="shared" si="2"/>
        <v>120</v>
      </c>
      <c r="F95">
        <f t="shared" si="3"/>
        <v>0</v>
      </c>
      <c r="G95">
        <v>0</v>
      </c>
      <c r="H95">
        <v>0</v>
      </c>
      <c r="I95">
        <v>0</v>
      </c>
      <c r="J95">
        <v>7</v>
      </c>
      <c r="K95">
        <v>1</v>
      </c>
      <c r="L95">
        <v>0</v>
      </c>
      <c r="M95" s="2">
        <v>0</v>
      </c>
      <c r="N95">
        <v>0</v>
      </c>
      <c r="O95">
        <v>0</v>
      </c>
      <c r="P95">
        <v>0</v>
      </c>
      <c r="Q95">
        <v>0</v>
      </c>
      <c r="S95">
        <v>0</v>
      </c>
      <c r="T95">
        <v>0</v>
      </c>
      <c r="U95">
        <v>0</v>
      </c>
      <c r="V95">
        <v>0</v>
      </c>
      <c r="W95">
        <v>0</v>
      </c>
      <c r="X95">
        <v>0</v>
      </c>
      <c r="Y95">
        <v>0</v>
      </c>
      <c r="Z95">
        <v>0</v>
      </c>
    </row>
    <row r="96" spans="1:26" x14ac:dyDescent="0.3">
      <c r="A96" s="1">
        <v>45903</v>
      </c>
      <c r="B96" s="1" t="s">
        <v>29</v>
      </c>
      <c r="C96">
        <v>120</v>
      </c>
      <c r="D96">
        <v>0</v>
      </c>
      <c r="E96">
        <f t="shared" si="2"/>
        <v>120</v>
      </c>
      <c r="F96">
        <f t="shared" si="3"/>
        <v>0</v>
      </c>
      <c r="G96">
        <v>0</v>
      </c>
      <c r="H96">
        <v>0</v>
      </c>
      <c r="I96">
        <v>0</v>
      </c>
      <c r="J96">
        <v>29</v>
      </c>
      <c r="K96">
        <v>0</v>
      </c>
      <c r="L96">
        <v>0</v>
      </c>
      <c r="M96" s="2">
        <v>0</v>
      </c>
      <c r="N96">
        <v>0</v>
      </c>
      <c r="O96">
        <v>0</v>
      </c>
      <c r="P96">
        <v>0</v>
      </c>
      <c r="Q96">
        <v>0</v>
      </c>
      <c r="S96">
        <v>0</v>
      </c>
      <c r="T96">
        <v>0</v>
      </c>
      <c r="U96">
        <v>0</v>
      </c>
      <c r="V96">
        <v>0</v>
      </c>
      <c r="W96">
        <v>0</v>
      </c>
      <c r="X96">
        <v>0</v>
      </c>
      <c r="Y96">
        <v>0</v>
      </c>
      <c r="Z96">
        <v>0</v>
      </c>
    </row>
    <row r="97" spans="1:26" x14ac:dyDescent="0.3">
      <c r="A97" s="1">
        <v>45904</v>
      </c>
      <c r="B97" s="1" t="s">
        <v>29</v>
      </c>
      <c r="C97">
        <v>120</v>
      </c>
      <c r="D97">
        <v>0</v>
      </c>
      <c r="E97">
        <f t="shared" si="2"/>
        <v>120</v>
      </c>
      <c r="F97">
        <f t="shared" si="3"/>
        <v>0</v>
      </c>
      <c r="G97">
        <v>0</v>
      </c>
      <c r="H97">
        <v>0</v>
      </c>
      <c r="I97">
        <v>0</v>
      </c>
      <c r="J97">
        <v>27</v>
      </c>
      <c r="K97">
        <v>1</v>
      </c>
      <c r="L97">
        <v>0</v>
      </c>
      <c r="M97" s="2">
        <v>0</v>
      </c>
      <c r="N97">
        <v>0</v>
      </c>
      <c r="O97">
        <v>0</v>
      </c>
      <c r="P97">
        <v>0</v>
      </c>
      <c r="Q97">
        <v>0</v>
      </c>
      <c r="S97">
        <v>0</v>
      </c>
      <c r="T97">
        <v>0</v>
      </c>
      <c r="U97">
        <v>0</v>
      </c>
      <c r="V97">
        <v>0</v>
      </c>
      <c r="W97">
        <v>0</v>
      </c>
      <c r="X97">
        <v>0</v>
      </c>
      <c r="Y97">
        <v>0</v>
      </c>
      <c r="Z97">
        <v>0</v>
      </c>
    </row>
    <row r="98" spans="1:26" x14ac:dyDescent="0.3">
      <c r="A98" s="1">
        <v>45905</v>
      </c>
      <c r="B98" s="1" t="s">
        <v>29</v>
      </c>
      <c r="C98">
        <v>120</v>
      </c>
      <c r="D98">
        <v>0</v>
      </c>
      <c r="E98">
        <f t="shared" si="2"/>
        <v>120</v>
      </c>
      <c r="F98">
        <f t="shared" si="3"/>
        <v>0</v>
      </c>
      <c r="G98">
        <v>0</v>
      </c>
      <c r="H98">
        <v>0</v>
      </c>
      <c r="I98">
        <v>0</v>
      </c>
      <c r="J98">
        <v>4</v>
      </c>
      <c r="K98">
        <v>0</v>
      </c>
      <c r="L98">
        <v>0</v>
      </c>
      <c r="M98" s="2">
        <v>0</v>
      </c>
      <c r="N98">
        <v>0</v>
      </c>
      <c r="O98">
        <v>0</v>
      </c>
      <c r="P98">
        <v>0</v>
      </c>
      <c r="Q98">
        <v>0</v>
      </c>
      <c r="S98">
        <v>0</v>
      </c>
      <c r="T98">
        <v>0</v>
      </c>
      <c r="U98">
        <v>0</v>
      </c>
      <c r="V98">
        <v>0</v>
      </c>
      <c r="W98">
        <v>0</v>
      </c>
      <c r="X98">
        <v>0</v>
      </c>
      <c r="Y98">
        <v>0</v>
      </c>
      <c r="Z98">
        <v>0</v>
      </c>
    </row>
    <row r="99" spans="1:26" x14ac:dyDescent="0.3">
      <c r="A99" s="1">
        <v>45906</v>
      </c>
      <c r="B99" s="1" t="s">
        <v>29</v>
      </c>
      <c r="C99">
        <v>120</v>
      </c>
      <c r="D99">
        <v>0</v>
      </c>
      <c r="E99">
        <f t="shared" si="2"/>
        <v>120</v>
      </c>
      <c r="F99">
        <f t="shared" si="3"/>
        <v>0</v>
      </c>
      <c r="G99">
        <v>0</v>
      </c>
      <c r="H99">
        <v>0</v>
      </c>
      <c r="I99">
        <v>0</v>
      </c>
      <c r="J99">
        <v>5</v>
      </c>
      <c r="K99">
        <v>0</v>
      </c>
      <c r="L99">
        <v>0</v>
      </c>
      <c r="M99" s="2">
        <v>0</v>
      </c>
      <c r="N99">
        <v>0</v>
      </c>
      <c r="O99">
        <v>0</v>
      </c>
      <c r="P99">
        <v>0</v>
      </c>
      <c r="Q99">
        <v>0</v>
      </c>
      <c r="S99">
        <v>0</v>
      </c>
      <c r="T99">
        <v>0</v>
      </c>
      <c r="U99">
        <v>0</v>
      </c>
      <c r="V99">
        <v>0</v>
      </c>
      <c r="W99">
        <v>0</v>
      </c>
      <c r="X99">
        <v>0</v>
      </c>
      <c r="Y99">
        <v>0</v>
      </c>
      <c r="Z99">
        <v>0</v>
      </c>
    </row>
    <row r="100" spans="1:26" x14ac:dyDescent="0.3">
      <c r="A100" s="1">
        <v>45907</v>
      </c>
      <c r="B100" s="1" t="s">
        <v>29</v>
      </c>
      <c r="C100">
        <v>120</v>
      </c>
      <c r="D100">
        <v>0</v>
      </c>
      <c r="E100">
        <f t="shared" si="2"/>
        <v>120</v>
      </c>
      <c r="F100">
        <f t="shared" si="3"/>
        <v>0</v>
      </c>
      <c r="G100">
        <v>0</v>
      </c>
      <c r="H100">
        <v>0</v>
      </c>
      <c r="I100">
        <v>0</v>
      </c>
      <c r="J100">
        <v>2</v>
      </c>
      <c r="K100">
        <v>0</v>
      </c>
      <c r="L100">
        <v>1</v>
      </c>
      <c r="M100" s="2">
        <v>0.5</v>
      </c>
      <c r="N100">
        <v>0</v>
      </c>
      <c r="O100">
        <v>0</v>
      </c>
      <c r="P100">
        <v>0</v>
      </c>
      <c r="Q100">
        <v>0</v>
      </c>
      <c r="S100">
        <v>1</v>
      </c>
      <c r="T100">
        <v>0</v>
      </c>
      <c r="U100">
        <v>0</v>
      </c>
      <c r="V100">
        <v>0</v>
      </c>
      <c r="W100">
        <v>0</v>
      </c>
      <c r="X100">
        <v>0</v>
      </c>
      <c r="Y100">
        <v>0</v>
      </c>
      <c r="Z100">
        <v>0</v>
      </c>
    </row>
    <row r="101" spans="1:26" x14ac:dyDescent="0.3">
      <c r="A101" s="1">
        <v>45908</v>
      </c>
      <c r="B101" s="1" t="s">
        <v>29</v>
      </c>
      <c r="C101">
        <v>120</v>
      </c>
      <c r="D101">
        <v>0</v>
      </c>
      <c r="E101">
        <f t="shared" si="2"/>
        <v>120</v>
      </c>
      <c r="F101">
        <f t="shared" si="3"/>
        <v>0</v>
      </c>
      <c r="G101">
        <v>0</v>
      </c>
      <c r="H101">
        <v>0</v>
      </c>
      <c r="I101">
        <v>0</v>
      </c>
      <c r="J101">
        <v>12</v>
      </c>
      <c r="K101">
        <v>0</v>
      </c>
      <c r="L101">
        <v>0</v>
      </c>
      <c r="M101" s="2">
        <v>0</v>
      </c>
      <c r="N101">
        <v>0</v>
      </c>
      <c r="O101">
        <v>0</v>
      </c>
      <c r="P101">
        <v>0</v>
      </c>
      <c r="Q101">
        <v>0</v>
      </c>
      <c r="S101">
        <v>0</v>
      </c>
      <c r="T101">
        <v>0</v>
      </c>
      <c r="U101">
        <v>0</v>
      </c>
      <c r="V101">
        <v>0</v>
      </c>
      <c r="W101">
        <v>0</v>
      </c>
      <c r="X101">
        <v>0</v>
      </c>
      <c r="Y101">
        <v>0</v>
      </c>
      <c r="Z101">
        <v>0</v>
      </c>
    </row>
    <row r="102" spans="1:26" x14ac:dyDescent="0.3">
      <c r="A102" s="1">
        <v>45909</v>
      </c>
      <c r="B102" s="1" t="s">
        <v>29</v>
      </c>
      <c r="C102">
        <v>120</v>
      </c>
      <c r="D102">
        <v>0</v>
      </c>
      <c r="E102">
        <f t="shared" si="2"/>
        <v>120</v>
      </c>
      <c r="F102">
        <f t="shared" si="3"/>
        <v>0</v>
      </c>
      <c r="G102">
        <v>1</v>
      </c>
      <c r="H102">
        <v>1</v>
      </c>
      <c r="I102">
        <v>0</v>
      </c>
      <c r="J102">
        <v>148</v>
      </c>
      <c r="K102">
        <v>0</v>
      </c>
      <c r="L102">
        <v>16</v>
      </c>
      <c r="M102" s="3">
        <v>0.1081</v>
      </c>
      <c r="N102">
        <v>9</v>
      </c>
      <c r="O102">
        <v>0</v>
      </c>
      <c r="P102">
        <v>1</v>
      </c>
      <c r="Q102">
        <v>0</v>
      </c>
      <c r="S102">
        <v>6</v>
      </c>
      <c r="T102">
        <v>1</v>
      </c>
      <c r="U102">
        <v>0</v>
      </c>
      <c r="V102">
        <v>0</v>
      </c>
      <c r="W102">
        <v>0</v>
      </c>
      <c r="X102">
        <v>0</v>
      </c>
      <c r="Y102">
        <v>0</v>
      </c>
      <c r="Z102">
        <v>0</v>
      </c>
    </row>
    <row r="103" spans="1:26" x14ac:dyDescent="0.3">
      <c r="A103" s="1">
        <v>45910</v>
      </c>
      <c r="B103" s="1" t="s">
        <v>29</v>
      </c>
      <c r="C103">
        <v>120</v>
      </c>
      <c r="D103">
        <v>0</v>
      </c>
      <c r="E103">
        <f t="shared" si="2"/>
        <v>120</v>
      </c>
      <c r="F103">
        <f t="shared" si="3"/>
        <v>0</v>
      </c>
      <c r="G103">
        <v>0</v>
      </c>
      <c r="H103">
        <v>0</v>
      </c>
      <c r="I103">
        <v>0</v>
      </c>
      <c r="J103">
        <v>25</v>
      </c>
      <c r="K103">
        <v>0</v>
      </c>
      <c r="L103">
        <v>5</v>
      </c>
      <c r="M103" s="2">
        <v>0.2</v>
      </c>
      <c r="N103">
        <v>4</v>
      </c>
      <c r="O103">
        <v>0</v>
      </c>
      <c r="P103">
        <v>0</v>
      </c>
      <c r="Q103">
        <v>0</v>
      </c>
      <c r="S103">
        <v>1</v>
      </c>
      <c r="T103">
        <v>0</v>
      </c>
      <c r="U103">
        <v>0</v>
      </c>
      <c r="V103">
        <v>0</v>
      </c>
      <c r="W103">
        <v>0</v>
      </c>
      <c r="X103">
        <v>0</v>
      </c>
      <c r="Y103">
        <v>0</v>
      </c>
      <c r="Z103">
        <v>0</v>
      </c>
    </row>
    <row r="104" spans="1:26" x14ac:dyDescent="0.3">
      <c r="A104" s="1">
        <v>45911</v>
      </c>
      <c r="B104" s="1" t="s">
        <v>29</v>
      </c>
      <c r="C104">
        <v>120</v>
      </c>
      <c r="D104">
        <v>0</v>
      </c>
      <c r="E104">
        <f t="shared" si="2"/>
        <v>120</v>
      </c>
      <c r="F104">
        <f t="shared" si="3"/>
        <v>0</v>
      </c>
      <c r="G104">
        <v>0</v>
      </c>
      <c r="H104">
        <v>0</v>
      </c>
      <c r="I104">
        <v>0</v>
      </c>
      <c r="J104">
        <v>14</v>
      </c>
      <c r="K104">
        <v>0</v>
      </c>
      <c r="L104">
        <v>1</v>
      </c>
      <c r="M104" s="3">
        <v>7.1400000000000005E-2</v>
      </c>
      <c r="N104">
        <v>1</v>
      </c>
      <c r="O104">
        <v>0</v>
      </c>
      <c r="P104">
        <v>0</v>
      </c>
      <c r="Q104">
        <v>0</v>
      </c>
      <c r="S104">
        <v>0</v>
      </c>
      <c r="T104">
        <v>0</v>
      </c>
      <c r="U104">
        <v>0</v>
      </c>
      <c r="V104">
        <v>0</v>
      </c>
      <c r="W104">
        <v>0</v>
      </c>
      <c r="X104">
        <v>0</v>
      </c>
      <c r="Y104">
        <v>0</v>
      </c>
      <c r="Z104">
        <v>0</v>
      </c>
    </row>
    <row r="105" spans="1:26" x14ac:dyDescent="0.3">
      <c r="A105" s="1">
        <v>45912</v>
      </c>
      <c r="B105" s="1" t="s">
        <v>29</v>
      </c>
      <c r="C105">
        <v>120</v>
      </c>
      <c r="D105">
        <v>0</v>
      </c>
      <c r="E105">
        <f t="shared" si="2"/>
        <v>120</v>
      </c>
      <c r="F105">
        <f t="shared" si="3"/>
        <v>0</v>
      </c>
      <c r="G105">
        <v>0</v>
      </c>
      <c r="H105">
        <v>0</v>
      </c>
      <c r="I105">
        <v>0</v>
      </c>
      <c r="J105">
        <v>8</v>
      </c>
      <c r="K105">
        <v>1</v>
      </c>
      <c r="L105">
        <v>0</v>
      </c>
      <c r="M105" s="2">
        <v>0</v>
      </c>
      <c r="N105">
        <v>0</v>
      </c>
      <c r="O105">
        <v>0</v>
      </c>
      <c r="P105">
        <v>0</v>
      </c>
      <c r="Q105">
        <v>0</v>
      </c>
      <c r="S105">
        <v>0</v>
      </c>
      <c r="T105">
        <v>0</v>
      </c>
      <c r="U105">
        <v>0</v>
      </c>
      <c r="V105">
        <v>0</v>
      </c>
      <c r="W105">
        <v>0</v>
      </c>
      <c r="X105">
        <v>0</v>
      </c>
      <c r="Y105">
        <v>0</v>
      </c>
      <c r="Z105">
        <v>0</v>
      </c>
    </row>
    <row r="106" spans="1:26" x14ac:dyDescent="0.3">
      <c r="A106" s="1">
        <v>45913</v>
      </c>
      <c r="B106" s="1" t="s">
        <v>29</v>
      </c>
      <c r="C106">
        <v>120</v>
      </c>
      <c r="D106">
        <v>0</v>
      </c>
      <c r="E106">
        <f t="shared" si="2"/>
        <v>120</v>
      </c>
      <c r="F106">
        <f t="shared" si="3"/>
        <v>0</v>
      </c>
      <c r="G106">
        <v>0</v>
      </c>
      <c r="H106">
        <v>0</v>
      </c>
      <c r="I106">
        <v>0</v>
      </c>
      <c r="J106">
        <v>4</v>
      </c>
      <c r="K106">
        <v>0</v>
      </c>
      <c r="L106">
        <v>0</v>
      </c>
      <c r="M106" s="2">
        <v>0</v>
      </c>
      <c r="N106">
        <v>0</v>
      </c>
      <c r="O106">
        <v>0</v>
      </c>
      <c r="P106">
        <v>0</v>
      </c>
      <c r="Q106">
        <v>0</v>
      </c>
      <c r="S106">
        <v>0</v>
      </c>
      <c r="T106">
        <v>0</v>
      </c>
      <c r="U106">
        <v>0</v>
      </c>
      <c r="V106">
        <v>0</v>
      </c>
      <c r="W106">
        <v>0</v>
      </c>
      <c r="X106">
        <v>0</v>
      </c>
      <c r="Y106">
        <v>0</v>
      </c>
      <c r="Z106">
        <v>0</v>
      </c>
    </row>
    <row r="107" spans="1:26" x14ac:dyDescent="0.3">
      <c r="A107" s="1">
        <v>45914</v>
      </c>
      <c r="B107" s="1" t="s">
        <v>29</v>
      </c>
      <c r="C107">
        <v>120</v>
      </c>
      <c r="D107">
        <v>0</v>
      </c>
      <c r="E107">
        <f t="shared" si="2"/>
        <v>120</v>
      </c>
      <c r="F107">
        <f t="shared" si="3"/>
        <v>0</v>
      </c>
      <c r="G107">
        <v>0</v>
      </c>
      <c r="H107">
        <v>0</v>
      </c>
      <c r="I107">
        <v>0</v>
      </c>
      <c r="J107">
        <v>4</v>
      </c>
      <c r="K107">
        <v>0</v>
      </c>
      <c r="L107">
        <v>0</v>
      </c>
      <c r="M107" s="2">
        <v>0</v>
      </c>
      <c r="N107">
        <v>0</v>
      </c>
      <c r="O107">
        <v>0</v>
      </c>
      <c r="P107">
        <v>0</v>
      </c>
      <c r="Q107">
        <v>0</v>
      </c>
      <c r="S107">
        <v>0</v>
      </c>
      <c r="T107">
        <v>0</v>
      </c>
      <c r="U107">
        <v>0</v>
      </c>
      <c r="V107">
        <v>0</v>
      </c>
      <c r="W107">
        <v>0</v>
      </c>
      <c r="X107">
        <v>0</v>
      </c>
      <c r="Y107">
        <v>0</v>
      </c>
      <c r="Z107">
        <v>0</v>
      </c>
    </row>
    <row r="108" spans="1:26" x14ac:dyDescent="0.3">
      <c r="A108" s="1">
        <v>45915</v>
      </c>
      <c r="B108" s="1" t="s">
        <v>29</v>
      </c>
      <c r="C108">
        <v>121</v>
      </c>
      <c r="D108">
        <v>1</v>
      </c>
      <c r="E108">
        <f t="shared" si="2"/>
        <v>122</v>
      </c>
      <c r="F108">
        <f t="shared" si="3"/>
        <v>0.82644628099173556</v>
      </c>
      <c r="G108">
        <v>0</v>
      </c>
      <c r="H108">
        <v>0</v>
      </c>
      <c r="I108">
        <v>0</v>
      </c>
      <c r="J108">
        <v>34</v>
      </c>
      <c r="K108">
        <v>0</v>
      </c>
      <c r="L108">
        <v>0</v>
      </c>
      <c r="M108" s="2">
        <v>0</v>
      </c>
      <c r="N108">
        <v>0</v>
      </c>
      <c r="O108">
        <v>0</v>
      </c>
      <c r="P108">
        <v>0</v>
      </c>
      <c r="Q108">
        <v>0</v>
      </c>
      <c r="S108">
        <v>0</v>
      </c>
      <c r="T108">
        <v>0</v>
      </c>
      <c r="U108">
        <v>0</v>
      </c>
      <c r="V108">
        <v>0</v>
      </c>
      <c r="W108">
        <v>0</v>
      </c>
      <c r="X108">
        <v>0</v>
      </c>
      <c r="Y108">
        <v>0</v>
      </c>
      <c r="Z108">
        <v>0</v>
      </c>
    </row>
    <row r="109" spans="1:26" x14ac:dyDescent="0.3">
      <c r="A109" s="1">
        <v>45916</v>
      </c>
      <c r="B109" s="1" t="s">
        <v>29</v>
      </c>
      <c r="C109">
        <v>121</v>
      </c>
      <c r="D109">
        <v>0</v>
      </c>
      <c r="E109">
        <f t="shared" si="2"/>
        <v>121</v>
      </c>
      <c r="F109">
        <f t="shared" si="3"/>
        <v>0</v>
      </c>
      <c r="G109">
        <v>0</v>
      </c>
      <c r="H109">
        <v>0</v>
      </c>
      <c r="I109">
        <v>0</v>
      </c>
      <c r="J109">
        <v>3</v>
      </c>
      <c r="K109">
        <v>0</v>
      </c>
      <c r="L109">
        <v>0</v>
      </c>
      <c r="M109" s="2">
        <v>0</v>
      </c>
      <c r="N109">
        <v>0</v>
      </c>
      <c r="O109">
        <v>0</v>
      </c>
      <c r="P109">
        <v>0</v>
      </c>
      <c r="Q109">
        <v>0</v>
      </c>
      <c r="S109">
        <v>0</v>
      </c>
      <c r="T109">
        <v>0</v>
      </c>
      <c r="U109">
        <v>0</v>
      </c>
      <c r="V109">
        <v>0</v>
      </c>
      <c r="W109">
        <v>0</v>
      </c>
      <c r="X109">
        <v>0</v>
      </c>
      <c r="Y109">
        <v>0</v>
      </c>
      <c r="Z109">
        <v>0</v>
      </c>
    </row>
    <row r="110" spans="1:26" x14ac:dyDescent="0.3">
      <c r="A110" s="1">
        <v>45917</v>
      </c>
      <c r="B110" s="1" t="s">
        <v>29</v>
      </c>
      <c r="C110">
        <v>121</v>
      </c>
      <c r="D110">
        <v>0</v>
      </c>
      <c r="E110">
        <f t="shared" si="2"/>
        <v>121</v>
      </c>
      <c r="F110">
        <f t="shared" si="3"/>
        <v>0</v>
      </c>
      <c r="G110">
        <v>0</v>
      </c>
      <c r="H110">
        <v>0</v>
      </c>
      <c r="I110">
        <v>0</v>
      </c>
      <c r="J110">
        <v>3</v>
      </c>
      <c r="K110">
        <v>0</v>
      </c>
      <c r="L110">
        <v>0</v>
      </c>
      <c r="M110" s="2">
        <v>0</v>
      </c>
      <c r="N110">
        <v>0</v>
      </c>
      <c r="O110">
        <v>0</v>
      </c>
      <c r="P110">
        <v>0</v>
      </c>
      <c r="Q110">
        <v>0</v>
      </c>
      <c r="S110">
        <v>0</v>
      </c>
      <c r="T110">
        <v>0</v>
      </c>
      <c r="U110">
        <v>0</v>
      </c>
      <c r="V110">
        <v>0</v>
      </c>
      <c r="W110">
        <v>0</v>
      </c>
      <c r="X110">
        <v>0</v>
      </c>
      <c r="Y110">
        <v>0</v>
      </c>
      <c r="Z110">
        <v>0</v>
      </c>
    </row>
    <row r="111" spans="1:26" x14ac:dyDescent="0.3">
      <c r="A111" s="1">
        <v>45918</v>
      </c>
      <c r="B111" s="1" t="s">
        <v>29</v>
      </c>
      <c r="C111">
        <v>121</v>
      </c>
      <c r="D111">
        <v>0</v>
      </c>
      <c r="E111">
        <f t="shared" si="2"/>
        <v>121</v>
      </c>
      <c r="F111">
        <f t="shared" si="3"/>
        <v>0</v>
      </c>
      <c r="G111">
        <v>0</v>
      </c>
      <c r="H111">
        <v>0</v>
      </c>
      <c r="I111">
        <v>0</v>
      </c>
      <c r="J111">
        <v>0</v>
      </c>
      <c r="K111">
        <v>0</v>
      </c>
      <c r="L111">
        <v>0</v>
      </c>
      <c r="M111" s="2">
        <v>0</v>
      </c>
      <c r="N111">
        <v>0</v>
      </c>
      <c r="O111">
        <v>0</v>
      </c>
      <c r="P111">
        <v>0</v>
      </c>
      <c r="Q111">
        <v>0</v>
      </c>
      <c r="S111">
        <v>0</v>
      </c>
      <c r="T111">
        <v>0</v>
      </c>
      <c r="U111">
        <v>0</v>
      </c>
      <c r="V111">
        <v>0</v>
      </c>
      <c r="W111">
        <v>0</v>
      </c>
      <c r="X111">
        <v>0</v>
      </c>
      <c r="Y111">
        <v>0</v>
      </c>
      <c r="Z111">
        <v>0</v>
      </c>
    </row>
    <row r="112" spans="1:26" x14ac:dyDescent="0.3">
      <c r="A112" s="1">
        <v>45919</v>
      </c>
      <c r="B112" s="1" t="s">
        <v>29</v>
      </c>
      <c r="C112">
        <v>121</v>
      </c>
      <c r="D112">
        <v>0</v>
      </c>
      <c r="E112">
        <f t="shared" si="2"/>
        <v>121</v>
      </c>
      <c r="F112">
        <f t="shared" si="3"/>
        <v>0</v>
      </c>
      <c r="G112">
        <v>0</v>
      </c>
      <c r="H112">
        <v>0</v>
      </c>
      <c r="I112">
        <v>0</v>
      </c>
      <c r="J112">
        <v>1</v>
      </c>
      <c r="K112">
        <v>0</v>
      </c>
      <c r="L112">
        <v>0</v>
      </c>
      <c r="M112" s="2">
        <v>0</v>
      </c>
      <c r="N112">
        <v>0</v>
      </c>
      <c r="O112">
        <v>0</v>
      </c>
      <c r="P112">
        <v>0</v>
      </c>
      <c r="Q112">
        <v>0</v>
      </c>
      <c r="S112">
        <v>0</v>
      </c>
      <c r="T112">
        <v>0</v>
      </c>
      <c r="U112">
        <v>0</v>
      </c>
      <c r="V112">
        <v>0</v>
      </c>
      <c r="W112">
        <v>0</v>
      </c>
      <c r="X112">
        <v>0</v>
      </c>
      <c r="Y112">
        <v>0</v>
      </c>
      <c r="Z112">
        <v>0</v>
      </c>
    </row>
    <row r="113" spans="1:26" x14ac:dyDescent="0.3">
      <c r="A113" s="1">
        <v>45920</v>
      </c>
      <c r="B113" s="1" t="s">
        <v>29</v>
      </c>
      <c r="C113">
        <v>121</v>
      </c>
      <c r="D113">
        <v>0</v>
      </c>
      <c r="E113">
        <f t="shared" si="2"/>
        <v>121</v>
      </c>
      <c r="F113">
        <f t="shared" si="3"/>
        <v>0</v>
      </c>
      <c r="G113">
        <v>0</v>
      </c>
      <c r="H113">
        <v>0</v>
      </c>
      <c r="I113">
        <v>0</v>
      </c>
      <c r="J113">
        <v>0</v>
      </c>
      <c r="K113">
        <v>0</v>
      </c>
      <c r="L113">
        <v>0</v>
      </c>
      <c r="M113" s="2">
        <v>0</v>
      </c>
      <c r="N113">
        <v>0</v>
      </c>
      <c r="O113">
        <v>0</v>
      </c>
      <c r="P113">
        <v>0</v>
      </c>
      <c r="Q113">
        <v>0</v>
      </c>
      <c r="S113">
        <v>0</v>
      </c>
      <c r="T113">
        <v>0</v>
      </c>
      <c r="U113">
        <v>0</v>
      </c>
      <c r="V113">
        <v>0</v>
      </c>
      <c r="W113">
        <v>0</v>
      </c>
      <c r="X113">
        <v>0</v>
      </c>
      <c r="Y113">
        <v>0</v>
      </c>
      <c r="Z113">
        <v>0</v>
      </c>
    </row>
    <row r="114" spans="1:26" x14ac:dyDescent="0.3">
      <c r="A114" s="1">
        <v>45921</v>
      </c>
      <c r="B114" s="1" t="s">
        <v>29</v>
      </c>
      <c r="C114">
        <v>121</v>
      </c>
      <c r="D114">
        <v>0</v>
      </c>
      <c r="E114">
        <f t="shared" si="2"/>
        <v>121</v>
      </c>
      <c r="F114">
        <f t="shared" si="3"/>
        <v>0</v>
      </c>
      <c r="G114">
        <v>0</v>
      </c>
      <c r="H114">
        <v>0</v>
      </c>
      <c r="I114">
        <v>0</v>
      </c>
      <c r="J114">
        <v>0</v>
      </c>
      <c r="K114">
        <v>0</v>
      </c>
      <c r="L114">
        <v>0</v>
      </c>
      <c r="M114" s="2">
        <v>0</v>
      </c>
      <c r="N114">
        <v>0</v>
      </c>
      <c r="O114">
        <v>0</v>
      </c>
      <c r="P114">
        <v>0</v>
      </c>
      <c r="Q114">
        <v>0</v>
      </c>
      <c r="S114">
        <v>0</v>
      </c>
      <c r="T114">
        <v>0</v>
      </c>
      <c r="U114">
        <v>0</v>
      </c>
      <c r="V114">
        <v>0</v>
      </c>
      <c r="W114">
        <v>0</v>
      </c>
      <c r="X114">
        <v>0</v>
      </c>
      <c r="Y114">
        <v>0</v>
      </c>
      <c r="Z114">
        <v>0</v>
      </c>
    </row>
    <row r="115" spans="1:26" x14ac:dyDescent="0.3">
      <c r="A115" s="1">
        <v>45922</v>
      </c>
      <c r="B115" s="1" t="s">
        <v>29</v>
      </c>
      <c r="C115">
        <v>121</v>
      </c>
      <c r="D115">
        <v>0</v>
      </c>
      <c r="E115">
        <f t="shared" si="2"/>
        <v>121</v>
      </c>
      <c r="F115">
        <f t="shared" si="3"/>
        <v>0</v>
      </c>
      <c r="G115">
        <v>0</v>
      </c>
      <c r="H115">
        <v>0</v>
      </c>
      <c r="I115">
        <v>0</v>
      </c>
      <c r="J115">
        <v>10</v>
      </c>
      <c r="K115">
        <v>0</v>
      </c>
      <c r="L115">
        <v>0</v>
      </c>
      <c r="M115" s="2">
        <v>0</v>
      </c>
      <c r="N115">
        <v>0</v>
      </c>
      <c r="O115">
        <v>0</v>
      </c>
      <c r="P115">
        <v>0</v>
      </c>
      <c r="Q115">
        <v>0</v>
      </c>
      <c r="S115">
        <v>0</v>
      </c>
      <c r="T115">
        <v>0</v>
      </c>
      <c r="U115">
        <v>0</v>
      </c>
      <c r="V115">
        <v>0</v>
      </c>
      <c r="W115">
        <v>0</v>
      </c>
      <c r="X115">
        <v>0</v>
      </c>
      <c r="Y115">
        <v>0</v>
      </c>
      <c r="Z115">
        <v>0</v>
      </c>
    </row>
    <row r="116" spans="1:26" x14ac:dyDescent="0.3">
      <c r="A116" s="1">
        <v>45923</v>
      </c>
      <c r="B116" s="1" t="s">
        <v>29</v>
      </c>
      <c r="C116">
        <v>121</v>
      </c>
      <c r="D116">
        <v>0</v>
      </c>
      <c r="E116">
        <f t="shared" si="2"/>
        <v>121</v>
      </c>
      <c r="F116">
        <f t="shared" si="3"/>
        <v>0</v>
      </c>
      <c r="G116">
        <v>0</v>
      </c>
      <c r="H116">
        <v>0</v>
      </c>
      <c r="I116">
        <v>0</v>
      </c>
      <c r="J116">
        <v>14</v>
      </c>
      <c r="K116">
        <v>1</v>
      </c>
      <c r="L116">
        <v>0</v>
      </c>
      <c r="M116" s="2">
        <v>0</v>
      </c>
      <c r="N116">
        <v>0</v>
      </c>
      <c r="O116">
        <v>0</v>
      </c>
      <c r="P116">
        <v>0</v>
      </c>
      <c r="Q116">
        <v>0</v>
      </c>
      <c r="S116">
        <v>0</v>
      </c>
      <c r="T116">
        <v>0</v>
      </c>
      <c r="U116">
        <v>0</v>
      </c>
      <c r="V116">
        <v>0</v>
      </c>
      <c r="W116">
        <v>0</v>
      </c>
      <c r="X116">
        <v>0</v>
      </c>
      <c r="Y116">
        <v>0</v>
      </c>
      <c r="Z116">
        <v>0</v>
      </c>
    </row>
    <row r="117" spans="1:26" x14ac:dyDescent="0.3">
      <c r="A117" s="1">
        <v>45924</v>
      </c>
      <c r="B117" s="1" t="s">
        <v>29</v>
      </c>
      <c r="C117">
        <v>121</v>
      </c>
      <c r="D117">
        <v>0</v>
      </c>
      <c r="E117">
        <f t="shared" si="2"/>
        <v>121</v>
      </c>
      <c r="F117">
        <f t="shared" si="3"/>
        <v>0</v>
      </c>
      <c r="G117">
        <v>0</v>
      </c>
      <c r="H117">
        <v>0</v>
      </c>
      <c r="I117">
        <v>0</v>
      </c>
      <c r="J117">
        <v>19</v>
      </c>
      <c r="K117">
        <v>0</v>
      </c>
      <c r="L117">
        <v>0</v>
      </c>
      <c r="M117" s="2">
        <v>0</v>
      </c>
      <c r="N117">
        <v>0</v>
      </c>
      <c r="O117">
        <v>0</v>
      </c>
      <c r="P117">
        <v>0</v>
      </c>
      <c r="Q117">
        <v>0</v>
      </c>
      <c r="S117">
        <v>0</v>
      </c>
      <c r="T117">
        <v>0</v>
      </c>
      <c r="U117">
        <v>0</v>
      </c>
      <c r="V117">
        <v>0</v>
      </c>
      <c r="W117">
        <v>0</v>
      </c>
      <c r="X117">
        <v>0</v>
      </c>
      <c r="Y117">
        <v>0</v>
      </c>
      <c r="Z117">
        <v>0</v>
      </c>
    </row>
    <row r="118" spans="1:26" x14ac:dyDescent="0.3">
      <c r="A118" s="1">
        <v>45925</v>
      </c>
      <c r="B118" s="1" t="s">
        <v>29</v>
      </c>
      <c r="C118">
        <v>121</v>
      </c>
      <c r="D118">
        <v>0</v>
      </c>
      <c r="E118">
        <f t="shared" si="2"/>
        <v>121</v>
      </c>
      <c r="F118">
        <f t="shared" si="3"/>
        <v>0</v>
      </c>
      <c r="G118">
        <v>0</v>
      </c>
      <c r="H118">
        <v>0</v>
      </c>
      <c r="I118">
        <v>0</v>
      </c>
      <c r="J118">
        <v>6</v>
      </c>
      <c r="K118">
        <v>0</v>
      </c>
      <c r="L118">
        <v>0</v>
      </c>
      <c r="M118" s="2">
        <v>0</v>
      </c>
      <c r="N118">
        <v>0</v>
      </c>
      <c r="O118">
        <v>0</v>
      </c>
      <c r="P118">
        <v>0</v>
      </c>
      <c r="Q118">
        <v>0</v>
      </c>
      <c r="S118">
        <v>0</v>
      </c>
      <c r="T118">
        <v>0</v>
      </c>
      <c r="U118">
        <v>0</v>
      </c>
      <c r="V118">
        <v>0</v>
      </c>
      <c r="W118">
        <v>0</v>
      </c>
      <c r="X118">
        <v>0</v>
      </c>
      <c r="Y118">
        <v>0</v>
      </c>
      <c r="Z118">
        <v>0</v>
      </c>
    </row>
    <row r="119" spans="1:26" x14ac:dyDescent="0.3">
      <c r="A119" s="1">
        <v>45926</v>
      </c>
      <c r="B119" s="1" t="s">
        <v>29</v>
      </c>
      <c r="C119">
        <v>121</v>
      </c>
      <c r="D119">
        <v>0</v>
      </c>
      <c r="E119">
        <f t="shared" si="2"/>
        <v>121</v>
      </c>
      <c r="F119">
        <f t="shared" si="3"/>
        <v>0</v>
      </c>
      <c r="G119">
        <v>1</v>
      </c>
      <c r="H119">
        <v>1</v>
      </c>
      <c r="I119">
        <v>0</v>
      </c>
      <c r="J119">
        <v>83</v>
      </c>
      <c r="K119">
        <v>0</v>
      </c>
      <c r="L119">
        <v>6</v>
      </c>
      <c r="M119" s="3">
        <v>7.2300000000000003E-2</v>
      </c>
      <c r="N119">
        <v>1</v>
      </c>
      <c r="O119">
        <v>0</v>
      </c>
      <c r="P119">
        <v>0</v>
      </c>
      <c r="Q119">
        <v>0</v>
      </c>
      <c r="S119">
        <v>5</v>
      </c>
      <c r="T119">
        <v>1</v>
      </c>
      <c r="U119">
        <v>0</v>
      </c>
      <c r="V119">
        <v>0</v>
      </c>
      <c r="W119">
        <v>0</v>
      </c>
      <c r="X119">
        <v>0</v>
      </c>
      <c r="Y119">
        <v>0</v>
      </c>
      <c r="Z119">
        <v>0</v>
      </c>
    </row>
    <row r="120" spans="1:26" x14ac:dyDescent="0.3">
      <c r="A120" s="1">
        <v>45927</v>
      </c>
      <c r="B120" s="1" t="s">
        <v>29</v>
      </c>
      <c r="C120">
        <v>121</v>
      </c>
      <c r="D120">
        <v>0</v>
      </c>
      <c r="E120">
        <f t="shared" si="2"/>
        <v>121</v>
      </c>
      <c r="F120">
        <f t="shared" si="3"/>
        <v>0</v>
      </c>
      <c r="G120">
        <v>0</v>
      </c>
      <c r="H120">
        <v>0</v>
      </c>
      <c r="I120">
        <v>0</v>
      </c>
      <c r="J120">
        <v>2</v>
      </c>
      <c r="K120">
        <v>0</v>
      </c>
      <c r="L120">
        <v>2</v>
      </c>
      <c r="M120" s="2">
        <v>1</v>
      </c>
      <c r="N120">
        <v>1</v>
      </c>
      <c r="O120">
        <v>0</v>
      </c>
      <c r="P120">
        <v>1</v>
      </c>
      <c r="Q120">
        <v>0</v>
      </c>
      <c r="S120">
        <v>0</v>
      </c>
      <c r="T120">
        <v>0</v>
      </c>
      <c r="U120">
        <v>0</v>
      </c>
      <c r="V120">
        <v>0</v>
      </c>
      <c r="W120">
        <v>0</v>
      </c>
      <c r="X120">
        <v>0</v>
      </c>
      <c r="Y120">
        <v>0</v>
      </c>
      <c r="Z120">
        <v>0</v>
      </c>
    </row>
    <row r="121" spans="1:26" x14ac:dyDescent="0.3">
      <c r="A121" s="1">
        <v>45928</v>
      </c>
      <c r="B121" s="1" t="s">
        <v>29</v>
      </c>
      <c r="C121">
        <v>121</v>
      </c>
      <c r="D121">
        <v>0</v>
      </c>
      <c r="E121">
        <f t="shared" si="2"/>
        <v>121</v>
      </c>
      <c r="F121">
        <f t="shared" si="3"/>
        <v>0</v>
      </c>
      <c r="G121">
        <v>0</v>
      </c>
      <c r="H121">
        <v>0</v>
      </c>
      <c r="I121">
        <v>0</v>
      </c>
      <c r="J121">
        <v>2</v>
      </c>
      <c r="K121">
        <v>0</v>
      </c>
      <c r="L121">
        <v>0</v>
      </c>
      <c r="M121" s="2">
        <v>0</v>
      </c>
      <c r="N121">
        <v>0</v>
      </c>
      <c r="O121">
        <v>0</v>
      </c>
      <c r="P121">
        <v>0</v>
      </c>
      <c r="Q121">
        <v>0</v>
      </c>
      <c r="S121">
        <v>0</v>
      </c>
      <c r="T121">
        <v>0</v>
      </c>
      <c r="U121">
        <v>0</v>
      </c>
      <c r="V121">
        <v>0</v>
      </c>
      <c r="W121">
        <v>0</v>
      </c>
      <c r="X121">
        <v>0</v>
      </c>
      <c r="Y121">
        <v>0</v>
      </c>
      <c r="Z121">
        <v>0</v>
      </c>
    </row>
    <row r="122" spans="1:26" x14ac:dyDescent="0.3">
      <c r="A122" s="1">
        <v>45929</v>
      </c>
      <c r="B122" s="1" t="s">
        <v>29</v>
      </c>
      <c r="C122">
        <v>121</v>
      </c>
      <c r="D122">
        <v>0</v>
      </c>
      <c r="E122">
        <f t="shared" si="2"/>
        <v>121</v>
      </c>
      <c r="F122">
        <f t="shared" si="3"/>
        <v>0</v>
      </c>
      <c r="G122">
        <v>0</v>
      </c>
      <c r="H122">
        <v>0</v>
      </c>
      <c r="I122">
        <v>0</v>
      </c>
      <c r="J122">
        <v>20</v>
      </c>
      <c r="K122">
        <v>0</v>
      </c>
      <c r="L122">
        <v>0</v>
      </c>
      <c r="M122" s="2">
        <v>0</v>
      </c>
      <c r="N122">
        <v>0</v>
      </c>
      <c r="O122">
        <v>0</v>
      </c>
      <c r="P122">
        <v>0</v>
      </c>
      <c r="Q122">
        <v>0</v>
      </c>
      <c r="S122">
        <v>0</v>
      </c>
      <c r="T122">
        <v>0</v>
      </c>
      <c r="U122">
        <v>0</v>
      </c>
      <c r="V122">
        <v>0</v>
      </c>
      <c r="W122">
        <v>0</v>
      </c>
      <c r="X122">
        <v>0</v>
      </c>
      <c r="Y122">
        <v>0</v>
      </c>
      <c r="Z122">
        <v>0</v>
      </c>
    </row>
    <row r="123" spans="1:26" x14ac:dyDescent="0.3">
      <c r="A123" s="1">
        <v>45930</v>
      </c>
      <c r="B123" s="1" t="s">
        <v>29</v>
      </c>
      <c r="C123">
        <v>123</v>
      </c>
      <c r="D123">
        <v>2</v>
      </c>
      <c r="E123">
        <f t="shared" si="2"/>
        <v>125</v>
      </c>
      <c r="F123">
        <f t="shared" si="3"/>
        <v>1.6260162601626018</v>
      </c>
      <c r="G123">
        <v>2</v>
      </c>
      <c r="H123">
        <v>0</v>
      </c>
      <c r="I123">
        <v>7</v>
      </c>
      <c r="J123">
        <v>79</v>
      </c>
      <c r="K123">
        <v>0</v>
      </c>
      <c r="L123">
        <v>7</v>
      </c>
      <c r="M123" s="3">
        <v>8.8599999999999998E-2</v>
      </c>
      <c r="N123">
        <v>2</v>
      </c>
      <c r="O123">
        <v>0</v>
      </c>
      <c r="P123">
        <v>0</v>
      </c>
      <c r="Q123">
        <v>0</v>
      </c>
      <c r="S123">
        <v>5</v>
      </c>
      <c r="T123">
        <v>0</v>
      </c>
      <c r="U123">
        <v>0</v>
      </c>
      <c r="V123">
        <v>0</v>
      </c>
      <c r="W123">
        <v>0</v>
      </c>
      <c r="X123">
        <v>2</v>
      </c>
      <c r="Y123">
        <v>0</v>
      </c>
      <c r="Z123">
        <v>7</v>
      </c>
    </row>
    <row r="124" spans="1:26" x14ac:dyDescent="0.3">
      <c r="A124" s="1">
        <v>45931</v>
      </c>
      <c r="B124" s="1" t="s">
        <v>30</v>
      </c>
      <c r="C124">
        <v>123</v>
      </c>
      <c r="D124">
        <v>0</v>
      </c>
      <c r="E124">
        <f t="shared" si="2"/>
        <v>123</v>
      </c>
      <c r="F124">
        <f t="shared" si="3"/>
        <v>0</v>
      </c>
      <c r="G124">
        <v>0</v>
      </c>
      <c r="H124">
        <v>0</v>
      </c>
      <c r="I124">
        <v>0</v>
      </c>
      <c r="J124">
        <v>8</v>
      </c>
      <c r="K124">
        <v>0</v>
      </c>
      <c r="L124">
        <v>7</v>
      </c>
      <c r="M124" s="3">
        <v>0.875</v>
      </c>
      <c r="N124">
        <v>1</v>
      </c>
      <c r="O124">
        <v>0</v>
      </c>
      <c r="P124">
        <v>0</v>
      </c>
      <c r="Q124">
        <v>0</v>
      </c>
      <c r="S124">
        <v>6</v>
      </c>
      <c r="T124">
        <v>0</v>
      </c>
      <c r="U124">
        <v>0</v>
      </c>
      <c r="V124">
        <v>0</v>
      </c>
      <c r="W124">
        <v>0</v>
      </c>
      <c r="X124">
        <v>0</v>
      </c>
      <c r="Y124">
        <v>0</v>
      </c>
      <c r="Z124">
        <v>0</v>
      </c>
    </row>
    <row r="125" spans="1:26" x14ac:dyDescent="0.3">
      <c r="A125" s="1">
        <v>45932</v>
      </c>
      <c r="B125" s="1" t="s">
        <v>30</v>
      </c>
      <c r="C125">
        <v>123</v>
      </c>
      <c r="D125">
        <v>0</v>
      </c>
      <c r="E125">
        <f t="shared" si="2"/>
        <v>123</v>
      </c>
      <c r="F125">
        <f t="shared" si="3"/>
        <v>0</v>
      </c>
      <c r="G125">
        <v>0</v>
      </c>
      <c r="H125">
        <v>0</v>
      </c>
      <c r="I125">
        <v>0</v>
      </c>
      <c r="J125">
        <v>6</v>
      </c>
      <c r="K125">
        <v>0</v>
      </c>
      <c r="L125">
        <v>0</v>
      </c>
      <c r="M125" s="2">
        <v>0</v>
      </c>
      <c r="N125">
        <v>0</v>
      </c>
      <c r="O125">
        <v>0</v>
      </c>
      <c r="P125">
        <v>0</v>
      </c>
      <c r="Q125">
        <v>0</v>
      </c>
      <c r="S125">
        <v>0</v>
      </c>
      <c r="T125">
        <v>0</v>
      </c>
      <c r="U125">
        <v>0</v>
      </c>
      <c r="V125">
        <v>0</v>
      </c>
      <c r="W125">
        <v>0</v>
      </c>
      <c r="X125">
        <v>0</v>
      </c>
      <c r="Y125">
        <v>0</v>
      </c>
      <c r="Z125">
        <v>0</v>
      </c>
    </row>
    <row r="126" spans="1:26" x14ac:dyDescent="0.3">
      <c r="A126" s="1">
        <v>45933</v>
      </c>
      <c r="B126" s="1" t="s">
        <v>30</v>
      </c>
      <c r="C126">
        <v>123</v>
      </c>
      <c r="D126">
        <v>0</v>
      </c>
      <c r="E126">
        <f t="shared" si="2"/>
        <v>123</v>
      </c>
      <c r="F126">
        <f t="shared" si="3"/>
        <v>0</v>
      </c>
      <c r="G126">
        <v>0</v>
      </c>
      <c r="H126">
        <v>0</v>
      </c>
      <c r="I126">
        <v>0</v>
      </c>
      <c r="J126">
        <v>1</v>
      </c>
      <c r="K126">
        <v>0</v>
      </c>
      <c r="L126">
        <v>0</v>
      </c>
      <c r="M126" s="2">
        <v>0</v>
      </c>
      <c r="N126">
        <v>0</v>
      </c>
      <c r="O126">
        <v>0</v>
      </c>
      <c r="P126">
        <v>0</v>
      </c>
      <c r="Q126">
        <v>0</v>
      </c>
      <c r="S126">
        <v>0</v>
      </c>
      <c r="T126">
        <v>0</v>
      </c>
      <c r="U126">
        <v>0</v>
      </c>
      <c r="V126">
        <v>0</v>
      </c>
      <c r="W126">
        <v>0</v>
      </c>
      <c r="X126">
        <v>0</v>
      </c>
      <c r="Y126">
        <v>0</v>
      </c>
      <c r="Z126">
        <v>0</v>
      </c>
    </row>
    <row r="127" spans="1:26" x14ac:dyDescent="0.3">
      <c r="A127" s="1">
        <v>45934</v>
      </c>
      <c r="B127" s="1" t="s">
        <v>30</v>
      </c>
      <c r="C127">
        <v>123</v>
      </c>
      <c r="D127">
        <v>0</v>
      </c>
      <c r="E127">
        <f t="shared" si="2"/>
        <v>123</v>
      </c>
      <c r="F127">
        <f t="shared" si="3"/>
        <v>0</v>
      </c>
      <c r="G127">
        <v>0</v>
      </c>
      <c r="H127">
        <v>0</v>
      </c>
      <c r="I127">
        <v>0</v>
      </c>
      <c r="J127">
        <v>1</v>
      </c>
      <c r="K127">
        <v>0</v>
      </c>
      <c r="L127">
        <v>0</v>
      </c>
      <c r="M127" s="2">
        <v>0</v>
      </c>
      <c r="N127">
        <v>0</v>
      </c>
      <c r="O127">
        <v>0</v>
      </c>
      <c r="P127">
        <v>0</v>
      </c>
      <c r="Q127">
        <v>0</v>
      </c>
      <c r="S127">
        <v>0</v>
      </c>
      <c r="T127">
        <v>0</v>
      </c>
      <c r="U127">
        <v>0</v>
      </c>
      <c r="V127">
        <v>0</v>
      </c>
      <c r="W127">
        <v>0</v>
      </c>
      <c r="X127">
        <v>0</v>
      </c>
      <c r="Y127">
        <v>0</v>
      </c>
      <c r="Z127">
        <v>0</v>
      </c>
    </row>
    <row r="128" spans="1:26" x14ac:dyDescent="0.3">
      <c r="A128" s="1">
        <v>45935</v>
      </c>
      <c r="B128" s="1" t="s">
        <v>30</v>
      </c>
      <c r="C128">
        <v>123</v>
      </c>
      <c r="D128">
        <v>0</v>
      </c>
      <c r="E128">
        <f t="shared" si="2"/>
        <v>123</v>
      </c>
      <c r="F128">
        <f t="shared" si="3"/>
        <v>0</v>
      </c>
      <c r="G128">
        <v>0</v>
      </c>
      <c r="H128">
        <v>0</v>
      </c>
      <c r="I128">
        <v>0</v>
      </c>
      <c r="J128">
        <v>1</v>
      </c>
      <c r="K128">
        <v>0</v>
      </c>
      <c r="L128">
        <v>0</v>
      </c>
      <c r="M128" s="2">
        <v>0</v>
      </c>
      <c r="N128">
        <v>0</v>
      </c>
      <c r="O128">
        <v>0</v>
      </c>
      <c r="P128">
        <v>0</v>
      </c>
      <c r="Q128">
        <v>0</v>
      </c>
      <c r="S128">
        <v>0</v>
      </c>
      <c r="T128">
        <v>0</v>
      </c>
      <c r="U128">
        <v>0</v>
      </c>
      <c r="V128">
        <v>0</v>
      </c>
      <c r="W128">
        <v>0</v>
      </c>
      <c r="X128">
        <v>0</v>
      </c>
      <c r="Y128">
        <v>0</v>
      </c>
      <c r="Z128">
        <v>0</v>
      </c>
    </row>
    <row r="129" spans="1:26" x14ac:dyDescent="0.3">
      <c r="A129" s="1">
        <v>45936</v>
      </c>
      <c r="B129" s="1" t="s">
        <v>30</v>
      </c>
      <c r="C129">
        <v>123</v>
      </c>
      <c r="D129">
        <v>0</v>
      </c>
      <c r="E129">
        <f t="shared" si="2"/>
        <v>123</v>
      </c>
      <c r="F129">
        <f t="shared" si="3"/>
        <v>0</v>
      </c>
      <c r="G129">
        <v>0</v>
      </c>
      <c r="H129">
        <v>0</v>
      </c>
      <c r="I129">
        <v>0</v>
      </c>
      <c r="J129">
        <v>6</v>
      </c>
      <c r="K129">
        <v>0</v>
      </c>
      <c r="L129">
        <v>0</v>
      </c>
      <c r="M129" s="2">
        <v>0</v>
      </c>
      <c r="N129">
        <v>0</v>
      </c>
      <c r="O129">
        <v>0</v>
      </c>
      <c r="P129">
        <v>0</v>
      </c>
      <c r="Q129">
        <v>0</v>
      </c>
      <c r="S129">
        <v>0</v>
      </c>
      <c r="T129">
        <v>0</v>
      </c>
      <c r="U129">
        <v>0</v>
      </c>
      <c r="V129">
        <v>0</v>
      </c>
      <c r="W129">
        <v>0</v>
      </c>
      <c r="X129">
        <v>0</v>
      </c>
      <c r="Y129">
        <v>0</v>
      </c>
      <c r="Z129">
        <v>0</v>
      </c>
    </row>
    <row r="130" spans="1:26" x14ac:dyDescent="0.3">
      <c r="A130" s="1">
        <v>45937</v>
      </c>
      <c r="B130" s="1" t="s">
        <v>30</v>
      </c>
      <c r="C130">
        <v>123</v>
      </c>
      <c r="D130">
        <v>0</v>
      </c>
      <c r="E130">
        <f t="shared" si="2"/>
        <v>123</v>
      </c>
      <c r="F130">
        <f t="shared" si="3"/>
        <v>0</v>
      </c>
      <c r="G130">
        <v>0</v>
      </c>
      <c r="H130">
        <v>0</v>
      </c>
      <c r="I130">
        <v>0</v>
      </c>
      <c r="J130">
        <v>1</v>
      </c>
      <c r="K130">
        <v>0</v>
      </c>
      <c r="L130">
        <v>0</v>
      </c>
      <c r="M130" s="2">
        <v>0</v>
      </c>
      <c r="N130">
        <v>0</v>
      </c>
      <c r="O130">
        <v>0</v>
      </c>
      <c r="P130">
        <v>0</v>
      </c>
      <c r="Q130">
        <v>0</v>
      </c>
      <c r="S130">
        <v>0</v>
      </c>
      <c r="T130">
        <v>0</v>
      </c>
      <c r="U130">
        <v>0</v>
      </c>
      <c r="V130">
        <v>0</v>
      </c>
      <c r="W130">
        <v>0</v>
      </c>
      <c r="X130">
        <v>0</v>
      </c>
      <c r="Y130">
        <v>0</v>
      </c>
      <c r="Z130">
        <v>0</v>
      </c>
    </row>
    <row r="131" spans="1:26" x14ac:dyDescent="0.3">
      <c r="A131" s="1">
        <v>45938</v>
      </c>
      <c r="B131" s="1" t="s">
        <v>30</v>
      </c>
      <c r="C131">
        <v>123</v>
      </c>
      <c r="D131">
        <v>0</v>
      </c>
      <c r="E131">
        <f t="shared" ref="E131:E151" si="4">C131+D131</f>
        <v>123</v>
      </c>
      <c r="F131">
        <f t="shared" ref="F131:F151" si="5">(D131/C131)*100</f>
        <v>0</v>
      </c>
      <c r="G131">
        <v>0</v>
      </c>
      <c r="H131">
        <v>0</v>
      </c>
      <c r="I131">
        <v>0</v>
      </c>
      <c r="J131">
        <v>8</v>
      </c>
      <c r="K131">
        <v>0</v>
      </c>
      <c r="L131">
        <v>0</v>
      </c>
      <c r="M131" s="2">
        <v>0</v>
      </c>
      <c r="N131">
        <v>0</v>
      </c>
      <c r="O131">
        <v>0</v>
      </c>
      <c r="P131">
        <v>0</v>
      </c>
      <c r="Q131">
        <v>0</v>
      </c>
      <c r="S131">
        <v>0</v>
      </c>
      <c r="T131">
        <v>0</v>
      </c>
      <c r="U131">
        <v>0</v>
      </c>
      <c r="V131">
        <v>0</v>
      </c>
      <c r="W131">
        <v>0</v>
      </c>
      <c r="X131">
        <v>0</v>
      </c>
      <c r="Y131">
        <v>0</v>
      </c>
      <c r="Z131">
        <v>0</v>
      </c>
    </row>
    <row r="132" spans="1:26" x14ac:dyDescent="0.3">
      <c r="A132" s="1">
        <v>45939</v>
      </c>
      <c r="B132" s="1" t="s">
        <v>30</v>
      </c>
      <c r="C132">
        <v>123</v>
      </c>
      <c r="D132">
        <v>0</v>
      </c>
      <c r="E132">
        <f t="shared" si="4"/>
        <v>123</v>
      </c>
      <c r="F132">
        <f t="shared" si="5"/>
        <v>0</v>
      </c>
      <c r="G132">
        <v>0</v>
      </c>
      <c r="H132">
        <v>0</v>
      </c>
      <c r="I132">
        <v>0</v>
      </c>
      <c r="J132">
        <v>22</v>
      </c>
      <c r="K132">
        <v>0</v>
      </c>
      <c r="L132">
        <v>0</v>
      </c>
      <c r="M132" s="2">
        <v>0</v>
      </c>
      <c r="N132">
        <v>0</v>
      </c>
      <c r="O132">
        <v>0</v>
      </c>
      <c r="P132">
        <v>0</v>
      </c>
      <c r="Q132">
        <v>0</v>
      </c>
      <c r="S132">
        <v>0</v>
      </c>
      <c r="T132">
        <v>0</v>
      </c>
      <c r="U132">
        <v>0</v>
      </c>
      <c r="V132">
        <v>0</v>
      </c>
      <c r="W132">
        <v>0</v>
      </c>
      <c r="X132">
        <v>0</v>
      </c>
      <c r="Y132">
        <v>0</v>
      </c>
      <c r="Z132">
        <v>0</v>
      </c>
    </row>
    <row r="133" spans="1:26" x14ac:dyDescent="0.3">
      <c r="A133" s="1">
        <v>45940</v>
      </c>
      <c r="B133" s="1" t="s">
        <v>30</v>
      </c>
      <c r="C133">
        <v>123</v>
      </c>
      <c r="D133">
        <v>0</v>
      </c>
      <c r="E133">
        <f t="shared" si="4"/>
        <v>123</v>
      </c>
      <c r="F133">
        <f t="shared" si="5"/>
        <v>0</v>
      </c>
      <c r="G133">
        <v>0</v>
      </c>
      <c r="H133">
        <v>0</v>
      </c>
      <c r="I133">
        <v>0</v>
      </c>
      <c r="J133">
        <v>35</v>
      </c>
      <c r="K133">
        <v>0</v>
      </c>
      <c r="L133">
        <v>0</v>
      </c>
      <c r="M133" s="2">
        <v>0</v>
      </c>
      <c r="N133">
        <v>0</v>
      </c>
      <c r="O133">
        <v>0</v>
      </c>
      <c r="P133">
        <v>0</v>
      </c>
      <c r="Q133">
        <v>0</v>
      </c>
      <c r="S133">
        <v>0</v>
      </c>
      <c r="T133">
        <v>0</v>
      </c>
      <c r="U133">
        <v>0</v>
      </c>
      <c r="V133">
        <v>0</v>
      </c>
      <c r="W133">
        <v>0</v>
      </c>
      <c r="X133">
        <v>0</v>
      </c>
      <c r="Y133">
        <v>0</v>
      </c>
      <c r="Z133">
        <v>0</v>
      </c>
    </row>
    <row r="134" spans="1:26" x14ac:dyDescent="0.3">
      <c r="A134" s="1">
        <v>45941</v>
      </c>
      <c r="B134" s="1" t="s">
        <v>30</v>
      </c>
      <c r="C134">
        <v>123</v>
      </c>
      <c r="D134">
        <v>0</v>
      </c>
      <c r="E134">
        <f t="shared" si="4"/>
        <v>123</v>
      </c>
      <c r="F134">
        <f t="shared" si="5"/>
        <v>0</v>
      </c>
      <c r="G134">
        <v>0</v>
      </c>
      <c r="H134">
        <v>0</v>
      </c>
      <c r="I134">
        <v>0</v>
      </c>
      <c r="J134">
        <v>3</v>
      </c>
      <c r="K134">
        <v>1</v>
      </c>
      <c r="L134">
        <v>0</v>
      </c>
      <c r="M134" s="2">
        <v>0</v>
      </c>
      <c r="N134">
        <v>0</v>
      </c>
      <c r="O134">
        <v>0</v>
      </c>
      <c r="P134">
        <v>0</v>
      </c>
      <c r="Q134">
        <v>0</v>
      </c>
      <c r="S134">
        <v>0</v>
      </c>
      <c r="T134">
        <v>0</v>
      </c>
      <c r="U134">
        <v>0</v>
      </c>
      <c r="V134">
        <v>0</v>
      </c>
      <c r="W134">
        <v>0</v>
      </c>
      <c r="X134">
        <v>0</v>
      </c>
      <c r="Y134">
        <v>0</v>
      </c>
      <c r="Z134">
        <v>0</v>
      </c>
    </row>
    <row r="135" spans="1:26" x14ac:dyDescent="0.3">
      <c r="A135" s="1">
        <v>45942</v>
      </c>
      <c r="B135" s="1" t="s">
        <v>30</v>
      </c>
      <c r="C135">
        <v>123</v>
      </c>
      <c r="D135">
        <v>0</v>
      </c>
      <c r="E135">
        <f t="shared" si="4"/>
        <v>123</v>
      </c>
      <c r="F135">
        <f t="shared" si="5"/>
        <v>0</v>
      </c>
      <c r="G135">
        <v>0</v>
      </c>
      <c r="H135">
        <v>0</v>
      </c>
      <c r="I135">
        <v>0</v>
      </c>
      <c r="J135">
        <v>2</v>
      </c>
      <c r="K135">
        <v>0</v>
      </c>
      <c r="L135">
        <v>0</v>
      </c>
      <c r="M135" s="2">
        <v>0</v>
      </c>
      <c r="N135">
        <v>0</v>
      </c>
      <c r="O135">
        <v>0</v>
      </c>
      <c r="P135">
        <v>0</v>
      </c>
      <c r="Q135">
        <v>0</v>
      </c>
      <c r="S135">
        <v>0</v>
      </c>
      <c r="T135">
        <v>0</v>
      </c>
      <c r="U135">
        <v>0</v>
      </c>
      <c r="V135">
        <v>0</v>
      </c>
      <c r="W135">
        <v>0</v>
      </c>
      <c r="X135">
        <v>0</v>
      </c>
      <c r="Y135">
        <v>0</v>
      </c>
      <c r="Z135">
        <v>0</v>
      </c>
    </row>
    <row r="136" spans="1:26" x14ac:dyDescent="0.3">
      <c r="A136" s="1">
        <v>45943</v>
      </c>
      <c r="B136" s="1" t="s">
        <v>30</v>
      </c>
      <c r="C136">
        <v>123</v>
      </c>
      <c r="D136">
        <v>0</v>
      </c>
      <c r="E136">
        <f t="shared" si="4"/>
        <v>123</v>
      </c>
      <c r="F136">
        <f t="shared" si="5"/>
        <v>0</v>
      </c>
      <c r="G136">
        <v>0</v>
      </c>
      <c r="H136">
        <v>0</v>
      </c>
      <c r="I136">
        <v>0</v>
      </c>
      <c r="J136">
        <v>35</v>
      </c>
      <c r="K136">
        <v>0</v>
      </c>
      <c r="L136">
        <v>0</v>
      </c>
      <c r="M136" s="2">
        <v>0</v>
      </c>
      <c r="N136">
        <v>0</v>
      </c>
      <c r="O136">
        <v>0</v>
      </c>
      <c r="P136">
        <v>0</v>
      </c>
      <c r="Q136">
        <v>0</v>
      </c>
      <c r="S136">
        <v>0</v>
      </c>
      <c r="T136">
        <v>0</v>
      </c>
      <c r="U136">
        <v>0</v>
      </c>
      <c r="V136">
        <v>0</v>
      </c>
      <c r="W136">
        <v>0</v>
      </c>
      <c r="X136">
        <v>0</v>
      </c>
      <c r="Y136">
        <v>0</v>
      </c>
      <c r="Z136">
        <v>0</v>
      </c>
    </row>
    <row r="137" spans="1:26" x14ac:dyDescent="0.3">
      <c r="A137" s="1">
        <v>45944</v>
      </c>
      <c r="B137" s="1" t="s">
        <v>30</v>
      </c>
      <c r="C137">
        <v>125</v>
      </c>
      <c r="D137">
        <v>2</v>
      </c>
      <c r="E137">
        <f t="shared" si="4"/>
        <v>127</v>
      </c>
      <c r="F137">
        <f t="shared" si="5"/>
        <v>1.6</v>
      </c>
      <c r="G137">
        <v>0</v>
      </c>
      <c r="H137">
        <v>0</v>
      </c>
      <c r="I137">
        <v>0</v>
      </c>
      <c r="J137">
        <v>16</v>
      </c>
      <c r="K137">
        <v>0</v>
      </c>
      <c r="L137">
        <v>0</v>
      </c>
      <c r="M137" s="2">
        <v>0</v>
      </c>
      <c r="N137">
        <v>0</v>
      </c>
      <c r="O137">
        <v>0</v>
      </c>
      <c r="P137">
        <v>0</v>
      </c>
      <c r="Q137">
        <v>0</v>
      </c>
      <c r="S137">
        <v>0</v>
      </c>
      <c r="T137">
        <v>0</v>
      </c>
      <c r="U137">
        <v>0</v>
      </c>
      <c r="V137">
        <v>0</v>
      </c>
      <c r="W137">
        <v>0</v>
      </c>
      <c r="X137">
        <v>0</v>
      </c>
      <c r="Y137">
        <v>0</v>
      </c>
      <c r="Z137">
        <v>0</v>
      </c>
    </row>
    <row r="138" spans="1:26" x14ac:dyDescent="0.3">
      <c r="A138" s="1">
        <v>45945</v>
      </c>
      <c r="B138" s="1" t="s">
        <v>30</v>
      </c>
      <c r="C138">
        <v>125</v>
      </c>
      <c r="D138">
        <v>0</v>
      </c>
      <c r="E138">
        <f t="shared" si="4"/>
        <v>125</v>
      </c>
      <c r="F138">
        <f t="shared" si="5"/>
        <v>0</v>
      </c>
      <c r="G138">
        <v>0</v>
      </c>
      <c r="H138">
        <v>0</v>
      </c>
      <c r="I138">
        <v>0</v>
      </c>
      <c r="J138">
        <v>3</v>
      </c>
      <c r="K138">
        <v>0</v>
      </c>
      <c r="L138">
        <v>0</v>
      </c>
      <c r="M138" s="2">
        <v>0</v>
      </c>
      <c r="N138">
        <v>0</v>
      </c>
      <c r="O138">
        <v>0</v>
      </c>
      <c r="P138">
        <v>0</v>
      </c>
      <c r="Q138">
        <v>0</v>
      </c>
      <c r="S138">
        <v>0</v>
      </c>
      <c r="T138">
        <v>0</v>
      </c>
      <c r="U138">
        <v>0</v>
      </c>
      <c r="V138">
        <v>0</v>
      </c>
      <c r="W138">
        <v>0</v>
      </c>
      <c r="X138">
        <v>0</v>
      </c>
      <c r="Y138">
        <v>0</v>
      </c>
      <c r="Z138">
        <v>0</v>
      </c>
    </row>
    <row r="139" spans="1:26" x14ac:dyDescent="0.3">
      <c r="A139" s="1">
        <v>45946</v>
      </c>
      <c r="B139" s="1" t="s">
        <v>30</v>
      </c>
      <c r="C139">
        <v>125</v>
      </c>
      <c r="D139">
        <v>0</v>
      </c>
      <c r="E139">
        <f t="shared" si="4"/>
        <v>125</v>
      </c>
      <c r="F139">
        <f t="shared" si="5"/>
        <v>0</v>
      </c>
      <c r="G139">
        <v>0</v>
      </c>
      <c r="H139">
        <v>0</v>
      </c>
      <c r="I139">
        <v>0</v>
      </c>
      <c r="J139">
        <v>8</v>
      </c>
      <c r="K139">
        <v>0</v>
      </c>
      <c r="L139">
        <v>0</v>
      </c>
      <c r="M139" s="2">
        <v>0</v>
      </c>
      <c r="N139">
        <v>0</v>
      </c>
      <c r="O139">
        <v>0</v>
      </c>
      <c r="P139">
        <v>0</v>
      </c>
      <c r="Q139">
        <v>0</v>
      </c>
      <c r="S139">
        <v>0</v>
      </c>
      <c r="T139">
        <v>0</v>
      </c>
      <c r="U139">
        <v>0</v>
      </c>
      <c r="V139">
        <v>0</v>
      </c>
      <c r="W139">
        <v>0</v>
      </c>
      <c r="X139">
        <v>0</v>
      </c>
      <c r="Y139">
        <v>0</v>
      </c>
      <c r="Z139">
        <v>0</v>
      </c>
    </row>
    <row r="140" spans="1:26" x14ac:dyDescent="0.3">
      <c r="A140" s="1">
        <v>45947</v>
      </c>
      <c r="B140" s="1" t="s">
        <v>30</v>
      </c>
      <c r="C140">
        <v>125</v>
      </c>
      <c r="D140">
        <v>0</v>
      </c>
      <c r="E140">
        <f t="shared" si="4"/>
        <v>125</v>
      </c>
      <c r="F140">
        <f t="shared" si="5"/>
        <v>0</v>
      </c>
      <c r="G140">
        <v>0</v>
      </c>
      <c r="H140">
        <v>0</v>
      </c>
      <c r="I140">
        <v>0</v>
      </c>
      <c r="J140">
        <v>0</v>
      </c>
      <c r="K140">
        <v>0</v>
      </c>
      <c r="L140">
        <v>0</v>
      </c>
      <c r="M140" s="2">
        <v>0</v>
      </c>
      <c r="N140">
        <v>0</v>
      </c>
      <c r="O140">
        <v>0</v>
      </c>
      <c r="P140">
        <v>0</v>
      </c>
      <c r="Q140">
        <v>0</v>
      </c>
      <c r="S140">
        <v>0</v>
      </c>
      <c r="T140">
        <v>0</v>
      </c>
      <c r="U140">
        <v>0</v>
      </c>
      <c r="V140">
        <v>0</v>
      </c>
      <c r="W140">
        <v>0</v>
      </c>
      <c r="X140">
        <v>0</v>
      </c>
      <c r="Y140">
        <v>0</v>
      </c>
      <c r="Z140">
        <v>0</v>
      </c>
    </row>
    <row r="141" spans="1:26" x14ac:dyDescent="0.3">
      <c r="A141" s="1">
        <v>45948</v>
      </c>
      <c r="B141" s="1" t="s">
        <v>30</v>
      </c>
      <c r="C141">
        <v>125</v>
      </c>
      <c r="D141">
        <v>0</v>
      </c>
      <c r="E141">
        <f t="shared" si="4"/>
        <v>125</v>
      </c>
      <c r="F141">
        <f t="shared" si="5"/>
        <v>0</v>
      </c>
      <c r="G141">
        <v>0</v>
      </c>
      <c r="H141">
        <v>0</v>
      </c>
      <c r="I141">
        <v>0</v>
      </c>
      <c r="J141">
        <v>0</v>
      </c>
      <c r="K141">
        <v>0</v>
      </c>
      <c r="L141">
        <v>0</v>
      </c>
      <c r="M141" s="2">
        <v>0</v>
      </c>
      <c r="N141">
        <v>0</v>
      </c>
      <c r="O141">
        <v>0</v>
      </c>
      <c r="P141">
        <v>0</v>
      </c>
      <c r="Q141">
        <v>0</v>
      </c>
      <c r="S141">
        <v>0</v>
      </c>
      <c r="T141">
        <v>0</v>
      </c>
      <c r="U141">
        <v>0</v>
      </c>
      <c r="V141">
        <v>0</v>
      </c>
      <c r="W141">
        <v>0</v>
      </c>
      <c r="X141">
        <v>0</v>
      </c>
      <c r="Y141">
        <v>0</v>
      </c>
      <c r="Z141">
        <v>0</v>
      </c>
    </row>
    <row r="142" spans="1:26" x14ac:dyDescent="0.3">
      <c r="A142" s="1">
        <v>45949</v>
      </c>
      <c r="B142" s="1" t="s">
        <v>30</v>
      </c>
      <c r="C142">
        <v>125</v>
      </c>
      <c r="D142">
        <v>0</v>
      </c>
      <c r="E142">
        <f t="shared" si="4"/>
        <v>125</v>
      </c>
      <c r="F142">
        <f t="shared" si="5"/>
        <v>0</v>
      </c>
      <c r="G142">
        <v>0</v>
      </c>
      <c r="H142">
        <v>0</v>
      </c>
      <c r="I142">
        <v>0</v>
      </c>
      <c r="J142">
        <v>1</v>
      </c>
      <c r="K142">
        <v>0</v>
      </c>
      <c r="L142">
        <v>0</v>
      </c>
      <c r="M142" s="2">
        <v>0</v>
      </c>
      <c r="N142">
        <v>0</v>
      </c>
      <c r="O142">
        <v>0</v>
      </c>
      <c r="P142">
        <v>0</v>
      </c>
      <c r="Q142">
        <v>0</v>
      </c>
      <c r="S142">
        <v>0</v>
      </c>
      <c r="T142">
        <v>0</v>
      </c>
      <c r="U142">
        <v>0</v>
      </c>
      <c r="V142">
        <v>0</v>
      </c>
      <c r="W142">
        <v>0</v>
      </c>
      <c r="X142">
        <v>0</v>
      </c>
      <c r="Y142">
        <v>0</v>
      </c>
      <c r="Z142">
        <v>0</v>
      </c>
    </row>
    <row r="143" spans="1:26" x14ac:dyDescent="0.3">
      <c r="A143" s="1">
        <v>45950</v>
      </c>
      <c r="B143" s="1" t="s">
        <v>30</v>
      </c>
      <c r="C143">
        <v>125</v>
      </c>
      <c r="D143">
        <v>0</v>
      </c>
      <c r="E143">
        <f t="shared" si="4"/>
        <v>125</v>
      </c>
      <c r="F143">
        <f t="shared" si="5"/>
        <v>0</v>
      </c>
      <c r="G143">
        <v>0</v>
      </c>
      <c r="H143">
        <v>0</v>
      </c>
      <c r="I143">
        <v>0</v>
      </c>
      <c r="J143">
        <v>14</v>
      </c>
      <c r="K143">
        <v>0</v>
      </c>
      <c r="L143">
        <v>0</v>
      </c>
      <c r="M143" s="2">
        <v>0</v>
      </c>
      <c r="N143">
        <v>0</v>
      </c>
      <c r="O143">
        <v>0</v>
      </c>
      <c r="P143">
        <v>0</v>
      </c>
      <c r="Q143">
        <v>0</v>
      </c>
      <c r="S143">
        <v>0</v>
      </c>
      <c r="T143">
        <v>0</v>
      </c>
      <c r="U143">
        <v>0</v>
      </c>
      <c r="V143">
        <v>0</v>
      </c>
      <c r="W143">
        <v>0</v>
      </c>
      <c r="X143">
        <v>0</v>
      </c>
      <c r="Y143">
        <v>0</v>
      </c>
      <c r="Z143">
        <v>0</v>
      </c>
    </row>
    <row r="144" spans="1:26" x14ac:dyDescent="0.3">
      <c r="A144" s="1">
        <v>45951</v>
      </c>
      <c r="B144" s="1" t="s">
        <v>30</v>
      </c>
      <c r="C144">
        <v>125</v>
      </c>
      <c r="D144">
        <v>0</v>
      </c>
      <c r="E144">
        <f t="shared" si="4"/>
        <v>125</v>
      </c>
      <c r="F144">
        <f t="shared" si="5"/>
        <v>0</v>
      </c>
      <c r="G144">
        <v>0</v>
      </c>
      <c r="H144">
        <v>0</v>
      </c>
      <c r="I144">
        <v>0</v>
      </c>
      <c r="J144">
        <v>2</v>
      </c>
      <c r="K144">
        <v>0</v>
      </c>
      <c r="L144">
        <v>0</v>
      </c>
      <c r="M144" s="2">
        <v>0</v>
      </c>
      <c r="N144">
        <v>0</v>
      </c>
      <c r="O144">
        <v>0</v>
      </c>
      <c r="P144">
        <v>0</v>
      </c>
      <c r="Q144">
        <v>0</v>
      </c>
      <c r="S144">
        <v>0</v>
      </c>
      <c r="T144">
        <v>0</v>
      </c>
      <c r="U144">
        <v>0</v>
      </c>
      <c r="V144">
        <v>0</v>
      </c>
      <c r="W144">
        <v>0</v>
      </c>
      <c r="X144">
        <v>0</v>
      </c>
      <c r="Y144">
        <v>0</v>
      </c>
      <c r="Z144">
        <v>0</v>
      </c>
    </row>
    <row r="145" spans="1:26" x14ac:dyDescent="0.3">
      <c r="A145" s="1">
        <v>45952</v>
      </c>
      <c r="B145" s="1" t="s">
        <v>30</v>
      </c>
      <c r="C145">
        <v>125</v>
      </c>
      <c r="D145">
        <v>0</v>
      </c>
      <c r="E145">
        <f t="shared" si="4"/>
        <v>125</v>
      </c>
      <c r="F145">
        <f t="shared" si="5"/>
        <v>0</v>
      </c>
      <c r="G145">
        <v>0</v>
      </c>
      <c r="H145">
        <v>0</v>
      </c>
      <c r="I145">
        <v>0</v>
      </c>
      <c r="J145">
        <v>20</v>
      </c>
      <c r="K145">
        <v>0</v>
      </c>
      <c r="L145">
        <v>0</v>
      </c>
      <c r="M145" s="2">
        <v>0</v>
      </c>
      <c r="N145">
        <v>0</v>
      </c>
      <c r="O145">
        <v>0</v>
      </c>
      <c r="P145">
        <v>0</v>
      </c>
      <c r="Q145">
        <v>0</v>
      </c>
      <c r="S145">
        <v>0</v>
      </c>
      <c r="T145">
        <v>0</v>
      </c>
      <c r="U145">
        <v>0</v>
      </c>
      <c r="V145">
        <v>0</v>
      </c>
      <c r="W145">
        <v>0</v>
      </c>
      <c r="X145">
        <v>0</v>
      </c>
      <c r="Y145">
        <v>0</v>
      </c>
      <c r="Z145">
        <v>0</v>
      </c>
    </row>
    <row r="146" spans="1:26" x14ac:dyDescent="0.3">
      <c r="A146" s="1">
        <v>45953</v>
      </c>
      <c r="B146" s="1" t="s">
        <v>30</v>
      </c>
      <c r="C146">
        <v>125</v>
      </c>
      <c r="D146">
        <v>0</v>
      </c>
      <c r="E146">
        <f t="shared" si="4"/>
        <v>125</v>
      </c>
      <c r="F146">
        <f t="shared" si="5"/>
        <v>0</v>
      </c>
      <c r="G146">
        <v>0</v>
      </c>
      <c r="H146">
        <v>0</v>
      </c>
      <c r="I146">
        <v>0</v>
      </c>
      <c r="J146">
        <v>11</v>
      </c>
      <c r="K146">
        <v>0</v>
      </c>
      <c r="L146">
        <v>2</v>
      </c>
      <c r="M146" s="3">
        <v>0.18179999999999999</v>
      </c>
      <c r="N146">
        <v>0</v>
      </c>
      <c r="O146">
        <v>0</v>
      </c>
      <c r="P146">
        <v>0</v>
      </c>
      <c r="Q146">
        <v>0</v>
      </c>
      <c r="S146">
        <v>2</v>
      </c>
      <c r="T146">
        <v>0</v>
      </c>
      <c r="U146">
        <v>0</v>
      </c>
      <c r="V146">
        <v>0</v>
      </c>
      <c r="W146">
        <v>0</v>
      </c>
      <c r="X146">
        <v>0</v>
      </c>
      <c r="Y146">
        <v>0</v>
      </c>
      <c r="Z146">
        <v>0</v>
      </c>
    </row>
    <row r="147" spans="1:26" x14ac:dyDescent="0.3">
      <c r="A147" s="1">
        <v>45954</v>
      </c>
      <c r="B147" s="1" t="s">
        <v>30</v>
      </c>
      <c r="C147">
        <v>125</v>
      </c>
      <c r="D147">
        <v>0</v>
      </c>
      <c r="E147">
        <f t="shared" si="4"/>
        <v>125</v>
      </c>
      <c r="F147">
        <f t="shared" si="5"/>
        <v>0</v>
      </c>
      <c r="G147">
        <v>0</v>
      </c>
      <c r="H147">
        <v>0</v>
      </c>
      <c r="I147">
        <v>0</v>
      </c>
      <c r="J147">
        <v>4</v>
      </c>
      <c r="K147">
        <v>0</v>
      </c>
      <c r="L147">
        <v>0</v>
      </c>
      <c r="M147" s="2">
        <v>0</v>
      </c>
      <c r="N147">
        <v>0</v>
      </c>
      <c r="O147">
        <v>0</v>
      </c>
      <c r="P147">
        <v>0</v>
      </c>
      <c r="Q147">
        <v>0</v>
      </c>
      <c r="S147">
        <v>0</v>
      </c>
      <c r="T147">
        <v>0</v>
      </c>
      <c r="U147">
        <v>0</v>
      </c>
      <c r="V147">
        <v>0</v>
      </c>
      <c r="W147">
        <v>0</v>
      </c>
      <c r="X147">
        <v>0</v>
      </c>
      <c r="Y147">
        <v>0</v>
      </c>
      <c r="Z147">
        <v>0</v>
      </c>
    </row>
    <row r="148" spans="1:26" x14ac:dyDescent="0.3">
      <c r="A148" s="1">
        <v>45955</v>
      </c>
      <c r="B148" s="1" t="s">
        <v>30</v>
      </c>
      <c r="C148">
        <v>125</v>
      </c>
      <c r="D148">
        <v>0</v>
      </c>
      <c r="E148">
        <f t="shared" si="4"/>
        <v>125</v>
      </c>
      <c r="F148">
        <f t="shared" si="5"/>
        <v>0</v>
      </c>
      <c r="G148">
        <v>0</v>
      </c>
      <c r="H148">
        <v>0</v>
      </c>
      <c r="I148">
        <v>0</v>
      </c>
      <c r="J148">
        <v>3</v>
      </c>
      <c r="K148">
        <v>0</v>
      </c>
      <c r="L148">
        <v>0</v>
      </c>
      <c r="M148" s="2">
        <v>0</v>
      </c>
      <c r="N148">
        <v>0</v>
      </c>
      <c r="O148">
        <v>0</v>
      </c>
      <c r="P148">
        <v>0</v>
      </c>
      <c r="Q148">
        <v>0</v>
      </c>
      <c r="S148">
        <v>0</v>
      </c>
      <c r="T148">
        <v>0</v>
      </c>
      <c r="U148">
        <v>0</v>
      </c>
      <c r="V148">
        <v>0</v>
      </c>
      <c r="W148">
        <v>0</v>
      </c>
      <c r="X148">
        <v>0</v>
      </c>
      <c r="Y148">
        <v>0</v>
      </c>
      <c r="Z148">
        <v>0</v>
      </c>
    </row>
    <row r="149" spans="1:26" x14ac:dyDescent="0.3">
      <c r="A149" s="1">
        <v>45956</v>
      </c>
      <c r="B149" s="1" t="s">
        <v>30</v>
      </c>
      <c r="C149">
        <v>125</v>
      </c>
      <c r="D149">
        <v>0</v>
      </c>
      <c r="E149">
        <f t="shared" si="4"/>
        <v>125</v>
      </c>
      <c r="F149">
        <f t="shared" si="5"/>
        <v>0</v>
      </c>
      <c r="G149">
        <v>0</v>
      </c>
      <c r="H149">
        <v>0</v>
      </c>
      <c r="I149">
        <v>0</v>
      </c>
      <c r="J149">
        <v>1</v>
      </c>
      <c r="K149">
        <v>0</v>
      </c>
      <c r="L149">
        <v>0</v>
      </c>
      <c r="M149" s="2">
        <v>0</v>
      </c>
      <c r="N149">
        <v>0</v>
      </c>
      <c r="O149">
        <v>0</v>
      </c>
      <c r="P149">
        <v>0</v>
      </c>
      <c r="Q149">
        <v>0</v>
      </c>
      <c r="S149">
        <v>0</v>
      </c>
      <c r="T149">
        <v>0</v>
      </c>
      <c r="U149">
        <v>0</v>
      </c>
      <c r="V149">
        <v>0</v>
      </c>
      <c r="W149">
        <v>0</v>
      </c>
      <c r="X149">
        <v>0</v>
      </c>
      <c r="Y149">
        <v>0</v>
      </c>
      <c r="Z149">
        <v>0</v>
      </c>
    </row>
    <row r="150" spans="1:26" x14ac:dyDescent="0.3">
      <c r="A150" s="1">
        <v>45957</v>
      </c>
      <c r="B150" s="1" t="s">
        <v>30</v>
      </c>
      <c r="C150">
        <v>125</v>
      </c>
      <c r="D150">
        <v>0</v>
      </c>
      <c r="E150">
        <f t="shared" si="4"/>
        <v>125</v>
      </c>
      <c r="F150">
        <f t="shared" si="5"/>
        <v>0</v>
      </c>
      <c r="G150">
        <v>0</v>
      </c>
      <c r="H150">
        <v>0</v>
      </c>
      <c r="I150">
        <v>0</v>
      </c>
      <c r="J150">
        <v>32</v>
      </c>
      <c r="K150">
        <v>0</v>
      </c>
      <c r="L150">
        <v>0</v>
      </c>
      <c r="M150" s="2">
        <v>0</v>
      </c>
      <c r="N150">
        <v>0</v>
      </c>
      <c r="O150">
        <v>0</v>
      </c>
      <c r="P150">
        <v>0</v>
      </c>
      <c r="Q150">
        <v>0</v>
      </c>
      <c r="S150">
        <v>0</v>
      </c>
      <c r="T150">
        <v>0</v>
      </c>
      <c r="U150">
        <v>0</v>
      </c>
      <c r="V150">
        <v>0</v>
      </c>
      <c r="W150">
        <v>0</v>
      </c>
      <c r="X150">
        <v>0</v>
      </c>
      <c r="Y150">
        <v>0</v>
      </c>
      <c r="Z150">
        <v>0</v>
      </c>
    </row>
    <row r="151" spans="1:26" x14ac:dyDescent="0.3">
      <c r="A151" s="1">
        <v>45958</v>
      </c>
      <c r="B151" s="1" t="s">
        <v>30</v>
      </c>
      <c r="C151">
        <v>125</v>
      </c>
      <c r="D151">
        <v>0</v>
      </c>
      <c r="E151">
        <f t="shared" si="4"/>
        <v>125</v>
      </c>
      <c r="F151">
        <f t="shared" si="5"/>
        <v>0</v>
      </c>
      <c r="G151">
        <v>0</v>
      </c>
      <c r="H151">
        <v>0</v>
      </c>
      <c r="I151">
        <v>0</v>
      </c>
      <c r="J151">
        <v>22</v>
      </c>
      <c r="K151">
        <v>0</v>
      </c>
      <c r="L151">
        <v>0</v>
      </c>
      <c r="M151" s="2">
        <v>0</v>
      </c>
      <c r="N151">
        <v>0</v>
      </c>
      <c r="O151">
        <v>0</v>
      </c>
      <c r="P151">
        <v>0</v>
      </c>
      <c r="Q151">
        <v>0</v>
      </c>
      <c r="S151">
        <v>0</v>
      </c>
      <c r="T151">
        <v>0</v>
      </c>
      <c r="U151">
        <v>0</v>
      </c>
      <c r="V151">
        <v>0</v>
      </c>
      <c r="W151">
        <v>0</v>
      </c>
      <c r="X151">
        <v>0</v>
      </c>
      <c r="Y151">
        <v>0</v>
      </c>
      <c r="Z151">
        <v>0</v>
      </c>
    </row>
    <row r="152" spans="1:26" x14ac:dyDescent="0.3">
      <c r="A152" s="1">
        <v>45959</v>
      </c>
      <c r="B152" s="1" t="s">
        <v>30</v>
      </c>
      <c r="G152">
        <v>0</v>
      </c>
      <c r="H152">
        <v>0</v>
      </c>
      <c r="I152">
        <v>0</v>
      </c>
      <c r="L152">
        <v>0</v>
      </c>
      <c r="N152">
        <v>0</v>
      </c>
      <c r="O152">
        <v>0</v>
      </c>
      <c r="P152">
        <v>0</v>
      </c>
      <c r="Q152">
        <v>0</v>
      </c>
      <c r="S152">
        <v>0</v>
      </c>
      <c r="T152">
        <v>0</v>
      </c>
      <c r="U152">
        <v>0</v>
      </c>
      <c r="V152">
        <v>0</v>
      </c>
      <c r="W152">
        <v>0</v>
      </c>
      <c r="X152">
        <v>0</v>
      </c>
      <c r="Y152">
        <v>0</v>
      </c>
      <c r="Z152">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Dashboard</vt:lpstr>
      <vt:lpstr>Profile Performance (OC)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Prateeksha Mehta</dc:creator>
  <cp:lastModifiedBy>Prateeksha Mehta</cp:lastModifiedBy>
  <dcterms:created xsi:type="dcterms:W3CDTF">2025-10-29T18:54:51Z</dcterms:created>
  <dcterms:modified xsi:type="dcterms:W3CDTF">2025-12-11T23:58:01Z</dcterms:modified>
</cp:coreProperties>
</file>